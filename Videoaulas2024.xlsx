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4.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5.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C:\Users\55119\Documents\Univesp\Controle - Montagem\Controle - Montagem 2024\"/>
    </mc:Choice>
  </mc:AlternateContent>
  <xr:revisionPtr revIDLastSave="0" documentId="8_{0A070528-AB7C-42BD-96BD-BD43BDEC522F}" xr6:coauthVersionLast="47" xr6:coauthVersionMax="47" xr10:uidLastSave="{00000000-0000-0000-0000-000000000000}"/>
  <bookViews>
    <workbookView xWindow="20370" yWindow="-120" windowWidth="24240" windowHeight="13140" firstSheet="1" activeTab="1" xr2:uid="{19E83711-F0C2-4745-8825-AFED9DDB11D1}"/>
  </bookViews>
  <sheets>
    <sheet name="Geral" sheetId="1" r:id="rId1"/>
    <sheet name="2024.1" sheetId="2" r:id="rId2"/>
    <sheet name="2024.2" sheetId="3" r:id="rId3"/>
    <sheet name="2024.3" sheetId="4" r:id="rId4"/>
    <sheet name="2024.4" sheetId="5" r:id="rId5"/>
    <sheet name="Acessibilidade" sheetId="6" r:id="rId6"/>
    <sheet name="COM100 - Marcos" sheetId="8" r:id="rId7"/>
    <sheet name="Tutorial Univesp 2024" sheetId="9" r:id="rId8"/>
    <sheet name="Quem Sabe, Ganha!" sheetId="10" r:id="rId9"/>
    <sheet name="Disciplina Paulista de Acessib." sheetId="7" r:id="rId10"/>
    <sheet name="Planilha1" sheetId="11" r:id="rId11"/>
  </sheets>
  <definedNames>
    <definedName name="_xlnm._FilterDatabase" localSheetId="1" hidden="1">'2024.1'!$B$1:$N$118</definedName>
    <definedName name="_xlnm._FilterDatabase" localSheetId="2" hidden="1">'2024.2'!$G$1:$G$138</definedName>
    <definedName name="_xlnm._FilterDatabase" localSheetId="3" hidden="1">'2024.3'!$A$1:$N$23</definedName>
    <definedName name="_xlnm._FilterDatabase" localSheetId="0" hidden="1">Geral!$A$1:$G$36</definedName>
    <definedName name="_xlnm._FilterDatabase" localSheetId="4" hidden="1">'2024.4'!$G$1:$G$200</definedName>
    <definedName name="_xlnm._FilterDatabase" localSheetId="5" hidden="1">Acessibilidade!$L$2:$L$183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2" l="1"/>
  <c r="M140" i="5"/>
  <c r="B31" i="5"/>
  <c r="L11" i="5"/>
  <c r="M100" i="5"/>
  <c r="L289" i="6"/>
  <c r="B178" i="5"/>
  <c r="L278" i="6"/>
  <c r="M53" i="2"/>
  <c r="N156" i="5"/>
  <c r="B25" i="4"/>
  <c r="L259" i="6"/>
  <c r="L244" i="6"/>
  <c r="L226" i="6"/>
  <c r="L204" i="6"/>
  <c r="B147" i="4"/>
  <c r="B79" i="4"/>
  <c r="B57" i="4"/>
  <c r="B48" i="4"/>
  <c r="M102" i="4"/>
  <c r="N79" i="4"/>
  <c r="N169" i="4"/>
  <c r="M169" i="4"/>
  <c r="M147" i="4"/>
  <c r="M2" i="4"/>
  <c r="B2" i="4"/>
  <c r="B2" i="5"/>
  <c r="M48" i="4"/>
  <c r="M25" i="4"/>
  <c r="B3" i="6"/>
  <c r="B100" i="5"/>
  <c r="B204" i="6"/>
  <c r="B184" i="6"/>
  <c r="B113" i="6"/>
  <c r="L25" i="6"/>
  <c r="L55" i="6"/>
  <c r="L83" i="6"/>
  <c r="L92" i="6"/>
  <c r="L113" i="6"/>
  <c r="L132" i="6"/>
  <c r="L184" i="6"/>
  <c r="L198" i="6"/>
  <c r="L3" i="6"/>
  <c r="L176" i="6"/>
  <c r="L154" i="6"/>
  <c r="K113" i="6"/>
  <c r="B176" i="4"/>
  <c r="M48" i="3"/>
  <c r="K83" i="6"/>
  <c r="K92" i="6"/>
  <c r="B198" i="6"/>
  <c r="N48" i="4"/>
  <c r="K204" i="6"/>
  <c r="K198" i="6"/>
  <c r="K184" i="6"/>
  <c r="K132" i="6"/>
  <c r="K55" i="6"/>
  <c r="K25" i="6"/>
  <c r="B25" i="6"/>
  <c r="B132" i="6"/>
  <c r="B55" i="6"/>
  <c r="N2" i="4"/>
  <c r="B128" i="4"/>
  <c r="M57" i="4"/>
  <c r="M104" i="2"/>
  <c r="M2" i="3"/>
  <c r="M2" i="2"/>
  <c r="M75" i="2"/>
  <c r="N178" i="5"/>
  <c r="M178" i="5"/>
  <c r="M156" i="5"/>
  <c r="B156" i="5"/>
  <c r="N140" i="5"/>
  <c r="N123" i="5"/>
  <c r="M123" i="5"/>
  <c r="B123" i="5"/>
  <c r="N100" i="5"/>
  <c r="N77" i="5"/>
  <c r="M77" i="5"/>
  <c r="B77" i="5"/>
  <c r="N54" i="5"/>
  <c r="M54" i="5"/>
  <c r="B54" i="5"/>
  <c r="N31" i="5"/>
  <c r="M31" i="5"/>
  <c r="N11" i="5"/>
  <c r="B11" i="5"/>
  <c r="N2" i="5"/>
  <c r="M2" i="5"/>
  <c r="B169" i="4"/>
  <c r="B102" i="4"/>
  <c r="M79" i="4"/>
  <c r="N176" i="4"/>
  <c r="N102" i="4"/>
  <c r="N57" i="4"/>
  <c r="N25" i="4"/>
  <c r="M19" i="2"/>
  <c r="M116" i="3"/>
  <c r="M71" i="3"/>
  <c r="M2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tc={D0FB067A-2161-49A7-905C-53CE43626ED5}</author>
    <author>tc={AF6BDBC2-CB9F-4354-A3BE-9E9F8A26C5FF}</author>
    <author>tc={6E1BB05C-5F8B-4C26-ACC4-2B8A9DA33D73}</author>
    <author>tc={1B519FC2-1765-4CA3-82D9-ACC32FBADAD5}</author>
    <author>tc={87502CF5-E813-45E4-ACEE-251F682142D6}</author>
    <author>tc={5515AFC6-FD08-4E63-BCF3-65E6BD3D2C49}</author>
    <author>tc={BDD3111E-27C7-4AB4-AE72-7119ECF7ED86}</author>
    <author>tc={E11D612A-0F56-4EB2-885A-025B0B3D1C15}</author>
    <author>tc={F00853A2-3603-4440-9994-DCEFF40394DD}</author>
    <author>tc={E9692231-1E2C-4C3D-BFA6-6F49D38C09DE}</author>
    <author>tc={0E3988F5-950D-4EFB-A132-EB3E02E2FD61}</author>
    <author>tc={641345C2-570F-46EA-ACF0-8476974D5DA7}</author>
    <author>tc={E30AB017-E9A3-44B2-B73D-6CD474694623}</author>
    <author>tc={56CB243B-2BB0-4710-97BD-4FEDFE5E7C16}</author>
    <author>tc={1F0E82DB-2F0B-4538-8B1E-394B8E586BB6}</author>
    <author>tc={9265D4AD-615F-4B51-B274-3647CE9EFCB9}</author>
    <author>tc={F544B39C-343A-426F-B90D-AF4D64CB954A}</author>
    <author>tc={423709E2-0443-40DA-A26B-8F9A9466E099}</author>
    <author>tc={3F856430-8422-4985-B335-F9B6FC9E200F}</author>
    <author>tc={72D5DCED-BCAF-404A-929C-F83B36786675}</author>
    <author>tc={770BA34A-6BAA-40D4-93DA-797A97146382}</author>
    <author>tc={51B4324C-DD4A-482E-808B-3AD8774A16A9}</author>
    <author>tc={39119CCA-FCFF-48C2-8ADB-DB7DDAD4C3B3}</author>
  </authors>
  <commentList>
    <comment ref="K51" authorId="0" shapeId="0" xr:uid="{D0FB067A-2161-49A7-905C-53CE43626ED5}">
      <text>
        <t>[Threaded comment]
Your version of Excel allows you to read this threaded comment; however, any edits to it will get removed if the file is opened in a newer version of Excel. Learn more: https://go.microsoft.com/fwlink/?linkid=870924
Comment:
    ID anterior 2390P013546 (trecho duplicado)</t>
      </text>
    </comment>
    <comment ref="K53" authorId="1" shapeId="0" xr:uid="{AF6BDBC2-CB9F-4354-A3BE-9E9F8A26C5FF}">
      <text>
        <t>[Threaded comment]
Your version of Excel allows you to read this threaded comment; however, any edits to it will get removed if the file is opened in a newer version of Excel. Learn more: https://go.microsoft.com/fwlink/?linkid=870924
Comment:
    ID ANTIGO: 2390P013596 (som baixo)</t>
      </text>
    </comment>
    <comment ref="K54" authorId="2" shapeId="0" xr:uid="{6E1BB05C-5F8B-4C26-ACC4-2B8A9DA33D73}">
      <text>
        <t>[Threaded comment]
Your version of Excel allows you to read this threaded comment; however, any edits to it will get removed if the file is opened in a newer version of Excel. Learn more: https://go.microsoft.com/fwlink/?linkid=870924
Comment:
    ID ANTIGO: 2390P013917 (som baixo)</t>
      </text>
    </comment>
    <comment ref="K55" authorId="3" shapeId="0" xr:uid="{1B519FC2-1765-4CA3-82D9-ACC32FBADAD5}">
      <text>
        <t>[Threaded comment]
Your version of Excel allows you to read this threaded comment; however, any edits to it will get removed if the file is opened in a newer version of Excel. Learn more: https://go.microsoft.com/fwlink/?linkid=870924
Comment:
    ID ANTIGO: 2390P013576 (som baixo)</t>
      </text>
    </comment>
    <comment ref="K56" authorId="4" shapeId="0" xr:uid="{87502CF5-E813-45E4-ACEE-251F682142D6}">
      <text>
        <t>[Threaded comment]
Your version of Excel allows you to read this threaded comment; however, any edits to it will get removed if the file is opened in a newer version of Excel. Learn more: https://go.microsoft.com/fwlink/?linkid=870924
Comment:
    ID ANTIGO: 2390P013577 (som baixo)</t>
      </text>
    </comment>
    <comment ref="K57" authorId="5" shapeId="0" xr:uid="{5515AFC6-FD08-4E63-BCF3-65E6BD3D2C49}">
      <text>
        <t>[Threaded comment]
Your version of Excel allows you to read this threaded comment; however, any edits to it will get removed if the file is opened in a newer version of Excel. Learn more: https://go.microsoft.com/fwlink/?linkid=870924
Comment:
    ID ANTIGO: 2390P013578
Reply:
    ID ANTERIOR: 2390P013742 (som baixo)</t>
      </text>
    </comment>
    <comment ref="K58" authorId="6" shapeId="0" xr:uid="{BDD3111E-27C7-4AB4-AE72-7119ECF7ED86}">
      <text>
        <t>[Threaded comment]
Your version of Excel allows you to read this threaded comment; however, any edits to it will get removed if the file is opened in a newer version of Excel. Learn more: https://go.microsoft.com/fwlink/?linkid=870924
Comment:
    ID ANTIGO: 2390P013579 (som baixo)</t>
      </text>
    </comment>
    <comment ref="K59" authorId="7" shapeId="0" xr:uid="{E11D612A-0F56-4EB2-885A-025B0B3D1C15}">
      <text>
        <t>[Threaded comment]
Your version of Excel allows you to read this threaded comment; however, any edits to it will get removed if the file is opened in a newer version of Excel. Learn more: https://go.microsoft.com/fwlink/?linkid=870924
Comment:
    ID ANTIGO: 2390P013580 (som baixo)</t>
      </text>
    </comment>
    <comment ref="K60" authorId="8" shapeId="0" xr:uid="{F00853A2-3603-4440-9994-DCEFF40394DD}">
      <text>
        <t>[Threaded comment]
Your version of Excel allows you to read this threaded comment; however, any edits to it will get removed if the file is opened in a newer version of Excel. Learn more: https://go.microsoft.com/fwlink/?linkid=870924
Comment:
    ID ANTIGO: 2390P013581 (som baixo)</t>
      </text>
    </comment>
    <comment ref="K61" authorId="9" shapeId="0" xr:uid="{E9692231-1E2C-4C3D-BFA6-6F49D38C09DE}">
      <text>
        <t>[Threaded comment]
Your version of Excel allows you to read this threaded comment; however, any edits to it will get removed if the file is opened in a newer version of Excel. Learn more: https://go.microsoft.com/fwlink/?linkid=870924
Comment:
    ID ANTIGO: 2390P013582 (som baixo)</t>
      </text>
    </comment>
    <comment ref="K62" authorId="10" shapeId="0" xr:uid="{0E3988F5-950D-4EFB-A132-EB3E02E2FD61}">
      <text>
        <t>[Threaded comment]
Your version of Excel allows you to read this threaded comment; however, any edits to it will get removed if the file is opened in a newer version of Excel. Learn more: https://go.microsoft.com/fwlink/?linkid=870924
Comment:
    ID ANTIGO: 2390P013583 (som baixo)</t>
      </text>
    </comment>
    <comment ref="K63" authorId="11" shapeId="0" xr:uid="{641345C2-570F-46EA-ACF0-8476974D5DA7}">
      <text>
        <t>[Threaded comment]
Your version of Excel allows you to read this threaded comment; however, any edits to it will get removed if the file is opened in a newer version of Excel. Learn more: https://go.microsoft.com/fwlink/?linkid=870924
Comment:
    ID ANTIGO: 2390P013584 (som baixo)</t>
      </text>
    </comment>
    <comment ref="G64" authorId="12" shapeId="0" xr:uid="{E30AB017-E9A3-44B2-B73D-6CD47469462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@Lucas @Larissa links iguais
Reply:
    OK, corrigindo.</t>
      </text>
    </comment>
    <comment ref="K64" authorId="13" shapeId="0" xr:uid="{56CB243B-2BB0-4710-97BD-4FEDFE5E7C16}">
      <text>
        <t>[Threaded comment]
Your version of Excel allows you to read this threaded comment; however, any edits to it will get removed if the file is opened in a newer version of Excel. Learn more: https://go.microsoft.com/fwlink/?linkid=870924
Comment:
    ID ANTIGO: 2390P013585 (som baixo)</t>
      </text>
    </comment>
    <comment ref="K65" authorId="14" shapeId="0" xr:uid="{1F0E82DB-2F0B-4538-8B1E-394B8E586BB6}">
      <text>
        <t>[Threaded comment]
Your version of Excel allows you to read this threaded comment; however, any edits to it will get removed if the file is opened in a newer version of Excel. Learn more: https://go.microsoft.com/fwlink/?linkid=870924
Comment:
    ID ANTIGO: 2390P013586 (som baixo)</t>
      </text>
    </comment>
    <comment ref="K66" authorId="15" shapeId="0" xr:uid="{9265D4AD-615F-4B51-B274-3647CE9EFCB9}">
      <text>
        <t>[Threaded comment]
Your version of Excel allows you to read this threaded comment; however, any edits to it will get removed if the file is opened in a newer version of Excel. Learn more: https://go.microsoft.com/fwlink/?linkid=870924
Comment:
    ID ANTIGO: 2390P013587 (som baixo)</t>
      </text>
    </comment>
    <comment ref="K67" authorId="16" shapeId="0" xr:uid="{F544B39C-343A-426F-B90D-AF4D64CB954A}">
      <text>
        <t>[Threaded comment]
Your version of Excel allows you to read this threaded comment; however, any edits to it will get removed if the file is opened in a newer version of Excel. Learn more: https://go.microsoft.com/fwlink/?linkid=870924
Comment:
    ID ANTIGO: 2390P013588 (som baixo)</t>
      </text>
    </comment>
    <comment ref="K68" authorId="17" shapeId="0" xr:uid="{423709E2-0443-40DA-A26B-8F9A9466E099}">
      <text>
        <t>[Threaded comment]
Your version of Excel allows you to read this threaded comment; however, any edits to it will get removed if the file is opened in a newer version of Excel. Learn more: https://go.microsoft.com/fwlink/?linkid=870924
Comment:
    ID ANTIGO: 2390P013589 (som baixo)</t>
      </text>
    </comment>
    <comment ref="K69" authorId="18" shapeId="0" xr:uid="{3F856430-8422-4985-B335-F9B6FC9E200F}">
      <text>
        <t>[Threaded comment]
Your version of Excel allows you to read this threaded comment; however, any edits to it will get removed if the file is opened in a newer version of Excel. Learn more: https://go.microsoft.com/fwlink/?linkid=870924
Comment:
    ID ANTIGO: 2390P014156 (som baixo)</t>
      </text>
    </comment>
    <comment ref="K70" authorId="19" shapeId="0" xr:uid="{72D5DCED-BCAF-404A-929C-F83B36786675}">
      <text>
        <t>[Threaded comment]
Your version of Excel allows you to read this threaded comment; however, any edits to it will get removed if the file is opened in a newer version of Excel. Learn more: https://go.microsoft.com/fwlink/?linkid=870924
Comment:
    ID ANTIGO: 2390P014179 (som baixo)</t>
      </text>
    </comment>
    <comment ref="K71" authorId="20" shapeId="0" xr:uid="{770BA34A-6BAA-40D4-93DA-797A97146382}">
      <text>
        <t>[Threaded comment]
Your version of Excel allows you to read this threaded comment; however, any edits to it will get removed if the file is opened in a newer version of Excel. Learn more: https://go.microsoft.com/fwlink/?linkid=870924
Comment:
    ID ANTIGO: 2390P014180 (som baixo)</t>
      </text>
    </comment>
    <comment ref="K72" authorId="21" shapeId="0" xr:uid="{51B4324C-DD4A-482E-808B-3AD8774A16A9}">
      <text>
        <t>[Threaded comment]
Your version of Excel allows you to read this threaded comment; however, any edits to it will get removed if the file is opened in a newer version of Excel. Learn more: https://go.microsoft.com/fwlink/?linkid=870924
Comment:
    ID ANTIGO: 2390P013593 (som baixo)</t>
      </text>
    </comment>
    <comment ref="K73" authorId="22" shapeId="0" xr:uid="{39119CCA-FCFF-48C2-8ADB-DB7DDAD4C3B3}">
      <text>
        <t>[Threaded comment]
Your version of Excel allows you to read this threaded comment; however, any edits to it will get removed if the file is opened in a newer version of Excel. Learn more: https://go.microsoft.com/fwlink/?linkid=870924
Comment:
    ID ANTIGO: 2390P013991 (som baixo)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tc={42ACD7D4-E5D0-4AD0-A3F6-1EFDC720D8D2}</author>
    <author>tc={93B07D8F-2BFC-47A1-A828-9482CC2028EA}</author>
    <author>tc={9B46A110-D084-46C6-A228-FF84C43786B9}</author>
    <author>tc={C58C16EB-C5F2-4FBA-A6F2-FB08D7DE0571}</author>
    <author>tc={7504F6CE-FBD0-444F-97AD-93488391AE2F}</author>
    <author>tc={3D3974B4-4800-4020-B33A-F48E32DE5769}</author>
    <author>tc={EE1DF159-43FA-4F42-8FD1-BB8222D715F2}</author>
    <author>tc={941E9F58-58D1-4F71-9AAB-4531F8F39631}</author>
    <author>tc={B3A10D94-2BC2-4309-A418-400868CEA866}</author>
    <author>tc={73B1A3F1-0F2B-4566-9263-957395A72603}</author>
    <author>tc={C7978552-DC09-4ADF-82BA-60925CA1C632}</author>
    <author>tc={0FA33FB8-E32E-4B63-A1AE-9D938F6031E1}</author>
    <author>tc={116956BF-C782-4E78-9D30-53014AA88201}</author>
    <author>tc={630E363D-1071-4B5E-AAB7-BFDC7BA7F80F}</author>
    <author>tc={BA9ED264-70D1-4B79-9CD4-8A989DFD1860}</author>
  </authors>
  <commentList>
    <comment ref="K33" authorId="0" shapeId="0" xr:uid="{42ACD7D4-E5D0-4AD0-A3F6-1EFDC720D8D2}">
      <text>
        <t>[Threaded comment]
Your version of Excel allows you to read this threaded comment; however, any edits to it will get removed if the file is opened in a newer version of Excel. Learn more: https://go.microsoft.com/fwlink/?linkid=870924
Comment:
    ID ANTIGO: 2390P013605</t>
      </text>
    </comment>
    <comment ref="G41" authorId="1" shapeId="0" xr:uid="{93B07D8F-2BFC-47A1-A828-9482CC2028E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@Paula de Lima Conceicao 
Reply:
    @Valeria atualiza essa videoaula por favor? quando finalizar responda aqui.</t>
      </text>
    </comment>
    <comment ref="K41" authorId="2" shapeId="0" xr:uid="{9B46A110-D084-46C6-A228-FF84C43786B9}">
      <text>
        <t>[Threaded comment]
Your version of Excel allows you to read this threaded comment; however, any edits to it will get removed if the file is opened in a newer version of Excel. Learn more: https://go.microsoft.com/fwlink/?linkid=870924
Comment:
    ID anterior 2390P013613</t>
      </text>
    </comment>
    <comment ref="K74" authorId="3" shapeId="0" xr:uid="{C58C16EB-C5F2-4FBA-A6F2-FB08D7DE0571}">
      <text>
        <t>[Threaded comment]
Your version of Excel allows you to read this threaded comment; however, any edits to it will get removed if the file is opened in a newer version of Excel. Learn more: https://go.microsoft.com/fwlink/?linkid=870924
Comment:
    antigo ID 2390P013720</t>
      </text>
    </comment>
    <comment ref="G75" authorId="4" shapeId="0" xr:uid="{7504F6CE-FBD0-444F-97AD-93488391AE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@Paula de Lima Conceicao 
Reply:
    @Celso atualiza essas videoaulas em amarelo, por favor? 
Reply:
    Links substituídos</t>
      </text>
    </comment>
    <comment ref="K75" authorId="5" shapeId="0" xr:uid="{3D3974B4-4800-4020-B33A-F48E32DE5769}">
      <text>
        <t>[Threaded comment]
Your version of Excel allows you to read this threaded comment; however, any edits to it will get removed if the file is opened in a newer version of Excel. Learn more: https://go.microsoft.com/fwlink/?linkid=870924
Comment:
    ID anterior 2390P013721</t>
      </text>
    </comment>
    <comment ref="G76" authorId="6" shapeId="0" xr:uid="{EE1DF159-43FA-4F42-8FD1-BB8222D715F2}">
      <text>
        <t xml:space="preserve">[Threaded comment]
Your version of Excel allows you to read this threaded comment; however, any edits to it will get removed if the file is opened in a newer version of Excel. Learn more: https://go.microsoft.com/fwlink/?linkid=870924
Comment:
    @Paula de Lima Conceicao </t>
      </text>
    </comment>
    <comment ref="K76" authorId="7" shapeId="0" xr:uid="{941E9F58-58D1-4F71-9AAB-4531F8F39631}">
      <text>
        <t>[Threaded comment]
Your version of Excel allows you to read this threaded comment; however, any edits to it will get removed if the file is opened in a newer version of Excel. Learn more: https://go.microsoft.com/fwlink/?linkid=870924
Comment:
    ID anterior 2390P013722</t>
      </text>
    </comment>
    <comment ref="G87" authorId="8" shapeId="0" xr:uid="{B3A10D94-2BC2-4309-A418-400868CEA866}">
      <text>
        <t xml:space="preserve">[Threaded comment]
Your version of Excel allows you to read this threaded comment; however, any edits to it will get removed if the file is opened in a newer version of Excel. Learn more: https://go.microsoft.com/fwlink/?linkid=870924
Comment:
    @Paula de Lima Conceicao </t>
      </text>
    </comment>
    <comment ref="G100" authorId="9" shapeId="0" xr:uid="{73B1A3F1-0F2B-4566-9263-957395A726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@Paula de Lima Conceicao 
Reply:
    @Thiago atualiza essas videoaulas por favor? assim que finalizar, responda aqui.
Reply:
    Videoaula atualizada, solicitei ao sidnei para substituir o link de download.</t>
      </text>
    </comment>
    <comment ref="K100" authorId="10" shapeId="0" xr:uid="{C7978552-DC09-4ADF-82BA-60925CA1C632}">
      <text>
        <t>[Threaded comment]
Your version of Excel allows you to read this threaded comment; however, any edits to it will get removed if the file is opened in a newer version of Excel. Learn more: https://go.microsoft.com/fwlink/?linkid=870924
Comment:
    ID anterior 2390P014313</t>
      </text>
    </comment>
    <comment ref="G107" authorId="11" shapeId="0" xr:uid="{0FA33FB8-E32E-4B63-A1AE-9D938F6031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@Paula de Lima Conceicao 
Reply:
    @Thiago atualiza essa videoaula por favor?
Reply:
    Videoaula atualizada, solicitei ao sidnei para atualizar o link de download.</t>
      </text>
    </comment>
    <comment ref="K107" authorId="12" shapeId="0" xr:uid="{116956BF-C782-4E78-9D30-53014AA88201}">
      <text>
        <t>[Threaded comment]
Your version of Excel allows you to read this threaded comment; however, any edits to it will get removed if the file is opened in a newer version of Excel. Learn more: https://go.microsoft.com/fwlink/?linkid=870924
Comment:
    ID anterior 2390P014148</t>
      </text>
    </comment>
    <comment ref="K110" authorId="13" shapeId="0" xr:uid="{630E363D-1071-4B5E-AAB7-BFDC7BA7F80F}">
      <text>
        <t>[Threaded comment]
Your version of Excel allows you to read this threaded comment; however, any edits to it will get removed if the file is opened in a newer version of Excel. Learn more: https://go.microsoft.com/fwlink/?linkid=870924
Comment:
    ID anterior 2390P014314</t>
      </text>
    </comment>
    <comment ref="K125" authorId="14" shapeId="0" xr:uid="{BA9ED264-70D1-4B79-9CD4-8A989DFD1860}">
      <text>
        <t>[Threaded comment]
Your version of Excel allows you to read this threaded comment; however, any edits to it will get removed if the file is opened in a newer version of Excel. Learn more: https://go.microsoft.com/fwlink/?linkid=870924
Comment:
    ID anterior 2390P013656 (no final da aula, áudio fica só no canal 1)
Reply:
    @Larissa Marcela dos Santos,te marcando pois aprovei o ID e não sei se você vai querer subir de novo para o YT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tc={FCC4D161-2137-4C12-928D-031A0BC55EC6}</author>
    <author>tc={08CB3A63-4C78-4D9A-8159-4BF96040FB13}</author>
    <author>tc={D819DC3F-0ACB-44CA-891C-7890E69FD75D}</author>
    <author>tc={1BAE575D-E2B2-4FC1-8285-F50460A471B5}</author>
    <author>tc={F46927D6-05F9-4F3D-A64D-2703C3602720}</author>
    <author>tc={64D124A3-C972-4685-861E-6A2641DBC4F6}</author>
    <author>tc={BC48D5B5-9871-4066-9B2E-22AE09EF15FD}</author>
    <author>tc={AE230D33-2604-40E2-8136-4E5E2097B6AF}</author>
    <author>tc={6FC7483E-6EBF-4818-AFB2-9F71660AC276}</author>
    <author>tc={13A3FB10-1845-4702-A95A-E5306B0852D0}</author>
    <author>tc={0A4F3158-5DDD-4306-99FF-B9DFE12D0634}</author>
    <author>tc={38C9DFFE-866C-45CE-9979-3F21C817C829}</author>
    <author>tc={FB8FBC93-F7B2-4D05-930B-0C9145BDF56A}</author>
    <author>tc={3E3135B0-AFFE-4B9C-AE02-8B421E499EE1}</author>
    <author>tc={E20F4EED-FF00-4A61-A736-0CFD49CA5E85}</author>
    <author>tc={3239CF5D-A4DF-4593-BAB6-228E1B3005EE}</author>
    <author>tc={CAF4FFC2-8F72-4A57-8C61-EFD027440F45}</author>
    <author>tc={FF87388E-BC59-47E2-ADAC-333E8B59608A}</author>
    <author>tc={8801756C-9043-42C9-A983-8932387CB861}</author>
    <author>tc={15A89EE0-A209-46BE-B211-7EDD08CCCEC7}</author>
    <author>tc={1592D06E-F9F5-4844-918C-206FBAA50DC4}</author>
    <author>tc={2E0A4CD7-D0BE-4850-81AA-A2EE7310C8F2}</author>
    <author>tc={0C729351-C2D4-4930-A37D-E2A229B63ADF}</author>
    <author>tc={2D1E9CA4-66E9-487F-9EE0-F1B739EFA0E4}</author>
    <author>tc={C55B2508-CAFF-43E1-9712-11A77362CD61}</author>
    <author>tc={5DF57C04-7B19-4CF2-BEC2-3C75BE4ACDBF}</author>
    <author>tc={AD52B434-73DC-4AE2-8205-9AB71325D640}</author>
    <author>tc={399466E3-F369-471F-9BA6-0087B2B5FD25}</author>
    <author>tc={3798C4D7-B646-48A8-8E1A-FDAA7082AC52}</author>
    <author>tc={F086B95D-D1FC-4F02-AAD2-36E13F057D9C}</author>
    <author>tc={903852F6-98A9-4FAA-B179-9B5C83EB1F65}</author>
    <author>tc={85D9FD17-2CF4-4E93-85A9-F7C6FCFDB34F}</author>
    <author>tc={A0F8D0E4-9FA4-48D4-B285-A2FA3E41202E}</author>
    <author>tc={C217BB43-27DF-4D63-AAAF-56443CEC5D3E}</author>
    <author>tc={0089C778-3A67-4325-830C-A38DE905AE8E}</author>
    <author>tc={4F969B78-3D73-4904-9445-04CC753E43D4}</author>
    <author>tc={C9A5EC09-1A2B-4BE4-833F-E4E0A1BEE6DE}</author>
    <author>tc={E035FB41-BF58-4015-8145-33B73F78D33A}</author>
    <author>tc={2A64ADC8-54D4-4136-8587-F1F2B0AD5012}</author>
    <author>tc={01469D16-3F87-442F-9C07-9059EFF830D9}</author>
    <author>tc={C433853A-5972-4F84-8846-A7A36347BED2}</author>
    <author>tc={F6CE8391-46BE-4FD1-BC39-679623DEEB81}</author>
    <author>tc={E952FC65-D750-43FB-AA6F-A5A02FC2FF22}</author>
    <author>tc={49C63F4C-C4D7-45AB-BCC1-DB9EA91D9E6D}</author>
    <author>tc={2F27739E-17A1-4D1D-918E-D748E00F3B52}</author>
    <author>tc={18686DDC-B1E1-45D3-8800-AEEC689569BB}</author>
    <author>tc={274309B5-1B06-4755-954D-982BF7A54332}</author>
    <author>tc={FB41A2E6-97E1-4543-A8F0-6CCA54E670D3}</author>
    <author>tc={CFC39D33-8CE2-4656-AFFC-CA80C1032197}</author>
    <author>tc={E90B96E7-21E5-42BB-94FD-60A28EB7D556}</author>
    <author>tc={E2567F4D-8FD8-43A1-88C1-6263267F93C5}</author>
    <author>tc={542916A8-1643-406D-975D-F6E6375A6719}</author>
    <author>tc={91F7DB0D-ECF7-4745-B64F-17F5690321A2}</author>
    <author>tc={2D289BF2-22B6-4D96-89E1-176725445D16}</author>
    <author>tc={33E14B2E-84FB-4399-8431-80FC48BDFEB4}</author>
    <author>tc={3C285E41-DD11-4B89-BEC8-7076A97F4134}</author>
    <author>tc={587E0124-66E1-4725-8A61-8644B003A793}</author>
    <author>tc={035CC2C6-D020-415C-B9C5-E7E40D2959EA}</author>
    <author>tc={A65D02A0-DAF7-4948-8CBC-DFFA5CE55504}</author>
    <author>tc={CA2BCA76-D0B8-42C0-92F3-99FFD9064668}</author>
    <author>tc={C49D79A8-69BD-45DC-AC1C-3ACC7BD9C02D}</author>
    <author>tc={8CCFF167-7E7A-4CEE-87E6-D7390C73FC7B}</author>
    <author>tc={91578FC7-8536-486F-954A-E7F43F54D21C}</author>
    <author>tc={D8132062-4529-4D0C-9E26-0486D6ED423E}</author>
    <author>tc={A0A98F0E-48FC-4D13-B64F-69F128B63613}</author>
    <author>tc={3CB9F7FF-4EEA-4D82-9440-ED84F61B4F72}</author>
    <author>tc={AF2BC795-FE90-49AC-803F-4C82D455C015}</author>
    <author>tc={010A3A30-3398-42EB-93CF-BC87B94629AE}</author>
    <author>tc={017CEA47-ED66-4A09-88CD-D7288C41EB05}</author>
    <author>tc={C25311CF-B576-44D8-94F5-93B0E41DAD99}</author>
    <author>tc={9969A349-BE7C-41ED-9A63-059095659A0C}</author>
    <author>tc={36FE3FE7-7F78-46DA-9DBC-BD6BF54D5B18}</author>
    <author>tc={9A55DB88-5143-40BD-8CBF-D5DA46D34157}</author>
    <author>tc={D614C4A3-0DAF-46A6-9289-3B123D6AC387}</author>
    <author>tc={700AAE6A-6374-46AE-A05A-46C1BBBCC1F6}</author>
    <author>tc={C7391E8E-05F5-4BBD-9CBD-EE02B1551B84}</author>
    <author>tc={0A7A473C-3682-4643-A84F-0F7CDFCE4572}</author>
    <author>tc={49056B69-806E-4300-BB75-9025DCE3C6D1}</author>
    <author>tc={96F0507F-3A35-435A-AD00-29FD2BAE31B3}</author>
    <author>tc={E25593F0-FEBC-49BF-AF84-F64730045023}</author>
    <author>tc={529771FE-33BE-4F3D-AF7B-C12B06AAE8C4}</author>
    <author>tc={1C81D0E1-0E1F-437F-AFC5-477345D9B3D7}</author>
    <author>tc={5A569204-761D-481B-94F2-5490FCADA672}</author>
    <author>tc={F8895EBD-8DF0-40D4-8637-35E37FE4D612}</author>
    <author>tc={3DB3DB01-5220-4565-859B-066F6839FA8A}</author>
    <author>tc={5146DB4B-619E-43C1-931F-D3A2D51B0FDD}</author>
    <author>tc={5C153602-B8AC-49DE-8172-28C7F1A68CCF}</author>
    <author>tc={3668789A-A05F-47F4-9EC6-B5160FB6EE21}</author>
    <author>tc={00AE3BFC-21E2-4D49-931E-06AF87318E15}</author>
    <author>tc={8A314A43-57ED-4D88-A232-621FEA6C11ED}</author>
    <author>tc={D51D30C8-2E2B-4AE0-B374-544E7F662AB4}</author>
    <author>tc={EB0513B7-3F19-49F6-A939-68846A6FC899}</author>
    <author>tc={0306A7AB-54F5-48C2-8B4A-49FBBA047198}</author>
    <author>tc={C1FC42B4-EF5E-4F75-A3B9-87359EF9ECB0}</author>
    <author>tc={34189EF9-FB95-4A02-8A6E-B66C9BBE82C3}</author>
    <author>tc={3F7E508B-C9E6-4CC7-A41B-6EE694127CAF}</author>
    <author>tc={D9469806-E8C1-45A1-814C-1B31FD6CC44A}</author>
  </authors>
  <commentList>
    <comment ref="K3" authorId="0" shapeId="0" xr:uid="{FCC4D161-2137-4C12-928D-031A0BC55EC6}">
      <text>
        <t>[Threaded comment]
Your version of Excel allows you to read this threaded comment; however, any edits to it will get removed if the file is opened in a newer version of Excel. Learn more: https://go.microsoft.com/fwlink/?linkid=870924
Comment:
    ID anterior 2390P013942 (ruído áudio)</t>
      </text>
    </comment>
    <comment ref="K4" authorId="1" shapeId="0" xr:uid="{08CB3A63-4C78-4D9A-8159-4BF96040FB13}">
      <text>
        <t>[Threaded comment]
Your version of Excel allows you to read this threaded comment; however, any edits to it will get removed if the file is opened in a newer version of Excel. Learn more: https://go.microsoft.com/fwlink/?linkid=870924
Comment:
    ID ANTIGO 2390P013943 (Ruído áudio)</t>
      </text>
    </comment>
    <comment ref="K5" authorId="2" shapeId="0" xr:uid="{D819DC3F-0ACB-44CA-891C-7890E69FD75D}">
      <text>
        <t>[Threaded comment]
Your version of Excel allows you to read this threaded comment; however, any edits to it will get removed if the file is opened in a newer version of Excel. Learn more: https://go.microsoft.com/fwlink/?linkid=870924
Comment:
    ID ANTIGO 2390P013944 (Ruído áudio)</t>
      </text>
    </comment>
    <comment ref="K6" authorId="3" shapeId="0" xr:uid="{1BAE575D-E2B2-4FC1-8285-F50460A471B5}">
      <text>
        <t>[Threaded comment]
Your version of Excel allows you to read this threaded comment; however, any edits to it will get removed if the file is opened in a newer version of Excel. Learn more: https://go.microsoft.com/fwlink/?linkid=870924
Comment:
    ID ANTIGO 2390P013945 (Ruído áudio)</t>
      </text>
    </comment>
    <comment ref="K7" authorId="4" shapeId="0" xr:uid="{F46927D6-05F9-4F3D-A64D-2703C3602720}">
      <text>
        <t>[Threaded comment]
Your version of Excel allows you to read this threaded comment; however, any edits to it will get removed if the file is opened in a newer version of Excel. Learn more: https://go.microsoft.com/fwlink/?linkid=870924
Comment:
    ID ANTIGO 2390P013946 (Ruído áudio)</t>
      </text>
    </comment>
    <comment ref="K8" authorId="5" shapeId="0" xr:uid="{64D124A3-C972-4685-861E-6A2641DBC4F6}">
      <text>
        <t>[Threaded comment]
Your version of Excel allows you to read this threaded comment; however, any edits to it will get removed if the file is opened in a newer version of Excel. Learn more: https://go.microsoft.com/fwlink/?linkid=870924
Comment:
    ID ANTIGO 2390P013947 (Ruído áudio)</t>
      </text>
    </comment>
    <comment ref="K9" authorId="6" shapeId="0" xr:uid="{BC48D5B5-9871-4066-9B2E-22AE09EF15FD}">
      <text>
        <t>[Threaded comment]
Your version of Excel allows you to read this threaded comment; however, any edits to it will get removed if the file is opened in a newer version of Excel. Learn more: https://go.microsoft.com/fwlink/?linkid=870924
Comment:
    ID ANTIGO 2390P013948 (Ruído áudio)</t>
      </text>
    </comment>
    <comment ref="K10" authorId="7" shapeId="0" xr:uid="{AE230D33-2604-40E2-8136-4E5E2097B6AF}">
      <text>
        <t>[Threaded comment]
Your version of Excel allows you to read this threaded comment; however, any edits to it will get removed if the file is opened in a newer version of Excel. Learn more: https://go.microsoft.com/fwlink/?linkid=870924
Comment:
    ID ANTIGO 2390P013949 (Ruído áudio)</t>
      </text>
    </comment>
    <comment ref="K11" authorId="8" shapeId="0" xr:uid="{6FC7483E-6EBF-4818-AFB2-9F71660AC276}">
      <text>
        <t>[Threaded comment]
Your version of Excel allows you to read this threaded comment; however, any edits to it will get removed if the file is opened in a newer version of Excel. Learn more: https://go.microsoft.com/fwlink/?linkid=870924
Comment:
    ID ANTIGO 2390P013950 (Ruído áudio)</t>
      </text>
    </comment>
    <comment ref="K12" authorId="9" shapeId="0" xr:uid="{13A3FB10-1845-4702-A95A-E5306B0852D0}">
      <text>
        <t>[Threaded comment]
Your version of Excel allows you to read this threaded comment; however, any edits to it will get removed if the file is opened in a newer version of Excel. Learn more: https://go.microsoft.com/fwlink/?linkid=870924
Comment:
    ID ANTIGO 2390P013951 (Ruído áudio)</t>
      </text>
    </comment>
    <comment ref="K13" authorId="10" shapeId="0" xr:uid="{0A4F3158-5DDD-4306-99FF-B9DFE12D0634}">
      <text>
        <t>[Threaded comment]
Your version of Excel allows you to read this threaded comment; however, any edits to it will get removed if the file is opened in a newer version of Excel. Learn more: https://go.microsoft.com/fwlink/?linkid=870924
Comment:
    ID ANTIGO 2390P013952 (Ruído áudio)</t>
      </text>
    </comment>
    <comment ref="K14" authorId="11" shapeId="0" xr:uid="{38C9DFFE-866C-45CE-9979-3F21C817C829}">
      <text>
        <t>[Threaded comment]
Your version of Excel allows you to read this threaded comment; however, any edits to it will get removed if the file is opened in a newer version of Excel. Learn more: https://go.microsoft.com/fwlink/?linkid=870924
Comment:
    ID ANTIGO 2390P013953 (Ruído áudio)</t>
      </text>
    </comment>
    <comment ref="K15" authorId="12" shapeId="0" xr:uid="{FB8FBC93-F7B2-4D05-930B-0C9145BDF56A}">
      <text>
        <t>[Threaded comment]
Your version of Excel allows you to read this threaded comment; however, any edits to it will get removed if the file is opened in a newer version of Excel. Learn more: https://go.microsoft.com/fwlink/?linkid=870924
Comment:
    ID ANTIGO 2390P013954 (Ruído áudio)</t>
      </text>
    </comment>
    <comment ref="K16" authorId="13" shapeId="0" xr:uid="{3E3135B0-AFFE-4B9C-AE02-8B421E499EE1}">
      <text>
        <t>[Threaded comment]
Your version of Excel allows you to read this threaded comment; however, any edits to it will get removed if the file is opened in a newer version of Excel. Learn more: https://go.microsoft.com/fwlink/?linkid=870924
Comment:
    ID ANTIGO 2390P013955 (Ruído áudio)</t>
      </text>
    </comment>
    <comment ref="K17" authorId="14" shapeId="0" xr:uid="{E20F4EED-FF00-4A61-A736-0CFD49CA5E85}">
      <text>
        <t>[Threaded comment]
Your version of Excel allows you to read this threaded comment; however, any edits to it will get removed if the file is opened in a newer version of Excel. Learn more: https://go.microsoft.com/fwlink/?linkid=870924
Comment:
    ID ANTIGO 2390P013956 (Ruído áudio)</t>
      </text>
    </comment>
    <comment ref="K18" authorId="15" shapeId="0" xr:uid="{3239CF5D-A4DF-4593-BAB6-228E1B3005EE}">
      <text>
        <t>[Threaded comment]
Your version of Excel allows you to read this threaded comment; however, any edits to it will get removed if the file is opened in a newer version of Excel. Learn more: https://go.microsoft.com/fwlink/?linkid=870924
Comment:
    ID ANTIGO 2390P013957 (Ruído áudio)</t>
      </text>
    </comment>
    <comment ref="K19" authorId="16" shapeId="0" xr:uid="{CAF4FFC2-8F72-4A57-8C61-EFD027440F45}">
      <text>
        <t>[Threaded comment]
Your version of Excel allows you to read this threaded comment; however, any edits to it will get removed if the file is opened in a newer version of Excel. Learn more: https://go.microsoft.com/fwlink/?linkid=870924
Comment:
    ID ANTIGO 2390P013958 (Ruído áudio)</t>
      </text>
    </comment>
    <comment ref="K20" authorId="17" shapeId="0" xr:uid="{FF87388E-BC59-47E2-ADAC-333E8B59608A}">
      <text>
        <t>[Threaded comment]
Your version of Excel allows you to read this threaded comment; however, any edits to it will get removed if the file is opened in a newer version of Excel. Learn more: https://go.microsoft.com/fwlink/?linkid=870924
Comment:
    ID ANTIGO 2390P013959 (Ruído áudio)</t>
      </text>
    </comment>
    <comment ref="K21" authorId="18" shapeId="0" xr:uid="{8801756C-9043-42C9-A983-8932387CB861}">
      <text>
        <t>[Threaded comment]
Your version of Excel allows you to read this threaded comment; however, any edits to it will get removed if the file is opened in a newer version of Excel. Learn more: https://go.microsoft.com/fwlink/?linkid=870924
Comment:
    ID ANTIGO 2390P013960 (Ruído áudio)</t>
      </text>
    </comment>
    <comment ref="K22" authorId="19" shapeId="0" xr:uid="{15A89EE0-A209-46BE-B211-7EDD08CCCEC7}">
      <text>
        <t>[Threaded comment]
Your version of Excel allows you to read this threaded comment; however, any edits to it will get removed if the file is opened in a newer version of Excel. Learn more: https://go.microsoft.com/fwlink/?linkid=870924
Comment:
    ID ANTIGO 2390P013961 (Ruído áudio)</t>
      </text>
    </comment>
    <comment ref="K23" authorId="20" shapeId="0" xr:uid="{1592D06E-F9F5-4844-918C-206FBAA50DC4}">
      <text>
        <t>[Threaded comment]
Your version of Excel allows you to read this threaded comment; however, any edits to it will get removed if the file is opened in a newer version of Excel. Learn more: https://go.microsoft.com/fwlink/?linkid=870924
Comment:
    ID ANTIGO 2390P013962 (Ruído áudio)</t>
      </text>
    </comment>
    <comment ref="K27" authorId="21" shapeId="0" xr:uid="{2E0A4CD7-D0BE-4850-81AA-A2EE7310C8F2}">
      <text>
        <t>[Threaded comment]
Your version of Excel allows you to read this threaded comment; however, any edits to it will get removed if the file is opened in a newer version of Excel. Learn more: https://go.microsoft.com/fwlink/?linkid=870924
Comment:
    ID anterior 2390P014038 (problema no áudio)</t>
      </text>
    </comment>
    <comment ref="K31" authorId="22" shapeId="0" xr:uid="{0C729351-C2D4-4930-A37D-E2A229B63ADF}">
      <text>
        <t>[Threaded comment]
Your version of Excel allows you to read this threaded comment; however, any edits to it will get removed if the file is opened in a newer version of Excel. Learn more: https://go.microsoft.com/fwlink/?linkid=870924
Comment:
    ID anterior 2390P014042 (problema no áudio)</t>
      </text>
    </comment>
    <comment ref="K32" authorId="23" shapeId="0" xr:uid="{2D1E9CA4-66E9-487F-9EE0-F1B739EFA0E4}">
      <text>
        <t>[Threaded comment]
Your version of Excel allows you to read this threaded comment; however, any edits to it will get removed if the file is opened in a newer version of Excel. Learn more: https://go.microsoft.com/fwlink/?linkid=870924
Comment:
    ID anterior 2390P014043 (problema no áudio)</t>
      </text>
    </comment>
    <comment ref="K36" authorId="24" shapeId="0" xr:uid="{C55B2508-CAFF-43E1-9712-11A77362CD61}">
      <text>
        <t>[Threaded comment]
Your version of Excel allows you to read this threaded comment; however, any edits to it will get removed if the file is opened in a newer version of Excel. Learn more: https://go.microsoft.com/fwlink/?linkid=870924
Comment:
    ID anterior 2390P014047 (problema no áudio)</t>
      </text>
    </comment>
    <comment ref="K40" authorId="25" shapeId="0" xr:uid="{5DF57C04-7B19-4CF2-BEC2-3C75BE4ACDBF}">
      <text>
        <t>[Threaded comment]
Your version of Excel allows you to read this threaded comment; however, any edits to it will get removed if the file is opened in a newer version of Excel. Learn more: https://go.microsoft.com/fwlink/?linkid=870924
Comment:
    ID anterior 2390P014051 (problema no áudio)</t>
      </text>
    </comment>
    <comment ref="B48" authorId="26" shapeId="0" xr:uid="{AD52B434-73DC-4AE2-8205-9AB71325D640}">
      <text>
        <t>[Threaded comment]
Your version of Excel allows you to read this threaded comment; however, any edits to it will get removed if the file is opened in a newer version of Excel. Learn more: https://go.microsoft.com/fwlink/?linkid=870924
Comment:
    @Alfredo Salvador Vieira Coelho ,  tudo bem? Você têm os títulos das aulas desta disciplina? Aqui constam as do PI I e acho que são diferentes. Obrigada :)
Reply:
    Vou atualizar com os slides que tenho aqui, que é o que está valendo
Reply:
    @Thais dos Reis atualizado
Reply:
    Obrigada :)</t>
      </text>
    </comment>
    <comment ref="K57" authorId="27" shapeId="0" xr:uid="{399466E3-F369-471F-9BA6-0087B2B5FD25}">
      <text>
        <t>[Threaded comment]
Your version of Excel allows you to read this threaded comment; however, any edits to it will get removed if the file is opened in a newer version of Excel. Learn more: https://go.microsoft.com/fwlink/?linkid=870924
Comment:
    ID anterior 2390P014288</t>
      </text>
    </comment>
    <comment ref="G79" authorId="28" shapeId="0" xr:uid="{3798C4D7-B646-48A8-8E1A-FDAA7082AC52}">
      <text>
        <t>[Threaded comment]
Your version of Excel allows you to read this threaded comment; however, any edits to it will get removed if the file is opened in a newer version of Excel. Learn more: https://go.microsoft.com/fwlink/?linkid=870924
Comment:
    Link antigo: https://youtu.be/6CNTDZ_Uy1g</t>
      </text>
    </comment>
    <comment ref="G80" authorId="29" shapeId="0" xr:uid="{F086B95D-D1FC-4F02-AAD2-36E13F057D9C}">
      <text>
        <t>[Threaded comment]
Your version of Excel allows you to read this threaded comment; however, any edits to it will get removed if the file is opened in a newer version of Excel. Learn more: https://go.microsoft.com/fwlink/?linkid=870924
Comment:
    link antigo: https://youtu.be/5BQiezgf0Oc</t>
      </text>
    </comment>
    <comment ref="G81" authorId="30" shapeId="0" xr:uid="{903852F6-98A9-4FAA-B179-9B5C83EB1F65}">
      <text>
        <t>[Threaded comment]
Your version of Excel allows you to read this threaded comment; however, any edits to it will get removed if the file is opened in a newer version of Excel. Learn more: https://go.microsoft.com/fwlink/?linkid=870924
Comment:
    link antigo: https://youtu.be/kmvVVcyjiyk</t>
      </text>
    </comment>
    <comment ref="G82" authorId="31" shapeId="0" xr:uid="{85D9FD17-2CF4-4E93-85A9-F7C6FCFDB34F}">
      <text>
        <t>[Threaded comment]
Your version of Excel allows you to read this threaded comment; however, any edits to it will get removed if the file is opened in a newer version of Excel. Learn more: https://go.microsoft.com/fwlink/?linkid=870924
Comment:
    link antigo: https://youtu.be/FwQzHATovJY</t>
      </text>
    </comment>
    <comment ref="G83" authorId="32" shapeId="0" xr:uid="{A0F8D0E4-9FA4-48D4-B285-A2FA3E41202E}">
      <text>
        <t>[Threaded comment]
Your version of Excel allows you to read this threaded comment; however, any edits to it will get removed if the file is opened in a newer version of Excel. Learn more: https://go.microsoft.com/fwlink/?linkid=870924
Comment:
    Link antigo: https://youtu.be/Jfdelmguqh8</t>
      </text>
    </comment>
    <comment ref="G84" authorId="33" shapeId="0" xr:uid="{C217BB43-27DF-4D63-AAAF-56443CEC5D3E}">
      <text>
        <t>[Threaded comment]
Your version of Excel allows you to read this threaded comment; however, any edits to it will get removed if the file is opened in a newer version of Excel. Learn more: https://go.microsoft.com/fwlink/?linkid=870924
Comment:
    Link antigo: https://youtu.be/WmZDI2qj4Zw</t>
      </text>
    </comment>
    <comment ref="G85" authorId="34" shapeId="0" xr:uid="{0089C778-3A67-4325-830C-A38DE905AE8E}">
      <text>
        <t>[Threaded comment]
Your version of Excel allows you to read this threaded comment; however, any edits to it will get removed if the file is opened in a newer version of Excel. Learn more: https://go.microsoft.com/fwlink/?linkid=870924
Comment:
    Link antigo: https://youtu.be/q2imeQ8Ycao</t>
      </text>
    </comment>
    <comment ref="G86" authorId="35" shapeId="0" xr:uid="{4F969B78-3D73-4904-9445-04CC753E43D4}">
      <text>
        <t>[Threaded comment]
Your version of Excel allows you to read this threaded comment; however, any edits to it will get removed if the file is opened in a newer version of Excel. Learn more: https://go.microsoft.com/fwlink/?linkid=870924
Comment:
    Link antigo: https://youtu.be/4JPt1FXSsMk</t>
      </text>
    </comment>
    <comment ref="G87" authorId="36" shapeId="0" xr:uid="{C9A5EC09-1A2B-4BE4-833F-E4E0A1BEE6DE}">
      <text>
        <t>[Threaded comment]
Your version of Excel allows you to read this threaded comment; however, any edits to it will get removed if the file is opened in a newer version of Excel. Learn more: https://go.microsoft.com/fwlink/?linkid=870924
Comment:
    Link antigo: https://youtu.be/JRhzW9CJUPo</t>
      </text>
    </comment>
    <comment ref="G88" authorId="37" shapeId="0" xr:uid="{E035FB41-BF58-4015-8145-33B73F78D33A}">
      <text>
        <t>[Threaded comment]
Your version of Excel allows you to read this threaded comment; however, any edits to it will get removed if the file is opened in a newer version of Excel. Learn more: https://go.microsoft.com/fwlink/?linkid=870924
Comment:
    Link antigo: https://youtu.be/VX1Y4fZzP-s</t>
      </text>
    </comment>
    <comment ref="G89" authorId="38" shapeId="0" xr:uid="{2A64ADC8-54D4-4136-8587-F1F2B0AD5012}">
      <text>
        <t>[Threaded comment]
Your version of Excel allows you to read this threaded comment; however, any edits to it will get removed if the file is opened in a newer version of Excel. Learn more: https://go.microsoft.com/fwlink/?linkid=870924
Comment:
    Link antigo: https://youtu.be/2kJr8MePUfQ</t>
      </text>
    </comment>
    <comment ref="G90" authorId="39" shapeId="0" xr:uid="{01469D16-3F87-442F-9C07-9059EFF830D9}">
      <text>
        <t>[Threaded comment]
Your version of Excel allows you to read this threaded comment; however, any edits to it will get removed if the file is opened in a newer version of Excel. Learn more: https://go.microsoft.com/fwlink/?linkid=870924
Comment:
    Link antigo: https://youtu.be/eJ6msJMCZNg</t>
      </text>
    </comment>
    <comment ref="G91" authorId="40" shapeId="0" xr:uid="{C433853A-5972-4F84-8846-A7A36347BED2}">
      <text>
        <t>[Threaded comment]
Your version of Excel allows you to read this threaded comment; however, any edits to it will get removed if the file is opened in a newer version of Excel. Learn more: https://go.microsoft.com/fwlink/?linkid=870924
Comment:
    Link antigo: https://youtu.be/xzIspft2YRQ</t>
      </text>
    </comment>
    <comment ref="G92" authorId="41" shapeId="0" xr:uid="{F6CE8391-46BE-4FD1-BC39-679623DEEB81}">
      <text>
        <t>[Threaded comment]
Your version of Excel allows you to read this threaded comment; however, any edits to it will get removed if the file is opened in a newer version of Excel. Learn more: https://go.microsoft.com/fwlink/?linkid=870924
Comment:
    Link antigo: https://youtu.be/ILtuDHosBpQ</t>
      </text>
    </comment>
    <comment ref="G93" authorId="42" shapeId="0" xr:uid="{E952FC65-D750-43FB-AA6F-A5A02FC2FF22}">
      <text>
        <t>[Threaded comment]
Your version of Excel allows you to read this threaded comment; however, any edits to it will get removed if the file is opened in a newer version of Excel. Learn more: https://go.microsoft.com/fwlink/?linkid=870924
Comment:
    Link antigo: https://youtu.be/edYr0GAmnHs</t>
      </text>
    </comment>
    <comment ref="G94" authorId="43" shapeId="0" xr:uid="{49C63F4C-C4D7-45AB-BCC1-DB9EA91D9E6D}">
      <text>
        <t>[Threaded comment]
Your version of Excel allows you to read this threaded comment; however, any edits to it will get removed if the file is opened in a newer version of Excel. Learn more: https://go.microsoft.com/fwlink/?linkid=870924
Comment:
    Link antigp: https://youtu.be/fFLWrLACxpg
Reply:
    https://youtu.be/40NvY2vNUWI</t>
      </text>
    </comment>
    <comment ref="K94" authorId="44" shapeId="0" xr:uid="{2F27739E-17A1-4D1D-918E-D748E00F3B52}">
      <text>
        <t>[Threaded comment]
Your version of Excel allows you to read this threaded comment; however, any edits to it will get removed if the file is opened in a newer version of Excel. Learn more: https://go.microsoft.com/fwlink/?linkid=870924
Comment:
    2390P013978
Reply:
    @Thais dos Reis  Mudança no id, erro no gc.</t>
      </text>
    </comment>
    <comment ref="G95" authorId="45" shapeId="0" xr:uid="{18686DDC-B1E1-45D3-8800-AEEC689569BB}">
      <text>
        <t>[Threaded comment]
Your version of Excel allows you to read this threaded comment; however, any edits to it will get removed if the file is opened in a newer version of Excel. Learn more: https://go.microsoft.com/fwlink/?linkid=870924
Comment:
    Link antigo: https://youtu.be/oUVCxnxj23Y</t>
      </text>
    </comment>
    <comment ref="G96" authorId="46" shapeId="0" xr:uid="{274309B5-1B06-4755-954D-982BF7A54332}">
      <text>
        <t>[Threaded comment]
Your version of Excel allows you to read this threaded comment; however, any edits to it will get removed if the file is opened in a newer version of Excel. Learn more: https://go.microsoft.com/fwlink/?linkid=870924
Comment:
    Link antigo: https://youtu.be/kNRvL5E5T7g</t>
      </text>
    </comment>
    <comment ref="G97" authorId="47" shapeId="0" xr:uid="{FB41A2E6-97E1-4543-A8F0-6CCA54E670D3}">
      <text>
        <t>[Threaded comment]
Your version of Excel allows you to read this threaded comment; however, any edits to it will get removed if the file is opened in a newer version of Excel. Learn more: https://go.microsoft.com/fwlink/?linkid=870924
Comment:
    link antigo: https://youtu.be/Y5wNxIDnIIk</t>
      </text>
    </comment>
    <comment ref="G98" authorId="48" shapeId="0" xr:uid="{CFC39D33-8CE2-4656-AFFC-CA80C1032197}">
      <text>
        <t>[Threaded comment]
Your version of Excel allows you to read this threaded comment; however, any edits to it will get removed if the file is opened in a newer version of Excel. Learn more: https://go.microsoft.com/fwlink/?linkid=870924
Comment:
    link antigo: https://youtu.be/rX5vWwY9R48</t>
      </text>
    </comment>
    <comment ref="G99" authorId="49" shapeId="0" xr:uid="{E90B96E7-21E5-42BB-94FD-60A28EB7D556}">
      <text>
        <t>[Threaded comment]
Your version of Excel allows you to read this threaded comment; however, any edits to it will get removed if the file is opened in a newer version of Excel. Learn more: https://go.microsoft.com/fwlink/?linkid=870924
Comment:
    link antigo: https://youtu.be/zq1memUbs_g</t>
      </text>
    </comment>
    <comment ref="G100" authorId="50" shapeId="0" xr:uid="{E2567F4D-8FD8-43A1-88C1-6263267F93C5}">
      <text>
        <t>[Threaded comment]
Your version of Excel allows you to read this threaded comment; however, any edits to it will get removed if the file is opened in a newer version of Excel. Learn more: https://go.microsoft.com/fwlink/?linkid=870924
Comment:
    link antigo: https://youtu.be/tG2iFRqu_WM</t>
      </text>
    </comment>
    <comment ref="K113" authorId="51" shapeId="0" xr:uid="{542916A8-1643-406D-975D-F6E6375A6719}">
      <text>
        <t>[Threaded comment]
Your version of Excel allows you to read this threaded comment; however, any edits to it will get removed if the file is opened in a newer version of Excel. Learn more: https://go.microsoft.com/fwlink/?linkid=870924
Comment:
    ID anterior 2390P015353 (aprovado sem a correção de cor)</t>
      </text>
    </comment>
    <comment ref="K114" authorId="52" shapeId="0" xr:uid="{91F7DB0D-ECF7-4745-B64F-17F5690321A2}">
      <text>
        <t>[Threaded comment]
Your version of Excel allows you to read this threaded comment; however, any edits to it will get removed if the file is opened in a newer version of Excel. Learn more: https://go.microsoft.com/fwlink/?linkid=870924
Comment:
    ID anterior 2390P015354 (aprovado sem a correção de cor)</t>
      </text>
    </comment>
    <comment ref="K115" authorId="53" shapeId="0" xr:uid="{2D289BF2-22B6-4D96-89E1-176725445D16}">
      <text>
        <t>[Threaded comment]
Your version of Excel allows you to read this threaded comment; however, any edits to it will get removed if the file is opened in a newer version of Excel. Learn more: https://go.microsoft.com/fwlink/?linkid=870924
Comment:
    ID anterior 2390P015355  (aprovado sem a correção de cor)</t>
      </text>
    </comment>
    <comment ref="K118" authorId="54" shapeId="0" xr:uid="{33E14B2E-84FB-4399-8431-80FC48BDFEB4}">
      <text>
        <t>[Threaded comment]
Your version of Excel allows you to read this threaded comment; however, any edits to it will get removed if the file is opened in a newer version of Excel. Learn more: https://go.microsoft.com/fwlink/?linkid=870924
Comment:
    ID anterior 2390P015357 (aprovado sem a correção de cor)</t>
      </text>
    </comment>
    <comment ref="K119" authorId="55" shapeId="0" xr:uid="{3C285E41-DD11-4B89-BEC8-7076A97F4134}">
      <text>
        <t>[Threaded comment]
Your version of Excel allows you to read this threaded comment; however, any edits to it will get removed if the file is opened in a newer version of Excel. Learn more: https://go.microsoft.com/fwlink/?linkid=870924
Comment:
    ID anterior 2390P015358  (aprovado sem a correção de cor)
Reply:
    ID anterior 2390P015395 (00:07" black e sync de vídeo)</t>
      </text>
    </comment>
    <comment ref="K134" authorId="56" shapeId="0" xr:uid="{587E0124-66E1-4725-8A61-8644B003A793}">
      <text>
        <t>[Threaded comment]
Your version of Excel allows you to read this threaded comment; however, any edits to it will get removed if the file is opened in a newer version of Excel. Learn more: https://go.microsoft.com/fwlink/?linkid=870924
Comment:
    ID anterior 2390P013514 (título errado)</t>
      </text>
    </comment>
    <comment ref="G147" authorId="57" shapeId="0" xr:uid="{035CC2C6-D020-415C-B9C5-E7E40D2959EA}">
      <text>
        <t>[Threaded comment]
Your version of Excel allows you to read this threaded comment; however, any edits to it will get removed if the file is opened in a newer version of Excel. Learn more: https://go.microsoft.com/fwlink/?linkid=870924
Comment:
    Link antigo: https://youtu.be/tIb-0ZbeXwU</t>
      </text>
    </comment>
    <comment ref="K147" authorId="58" shapeId="0" xr:uid="{A65D02A0-DAF7-4948-8CBC-DFFA5CE55504}">
      <text>
        <t>[Threaded comment]
Your version of Excel allows you to read this threaded comment; however, any edits to it will get removed if the file is opened in a newer version of Excel. Learn more: https://go.microsoft.com/fwlink/?linkid=870924
Comment:
    ID anterior 2390P013920 (reedição pronome neutro)</t>
      </text>
    </comment>
    <comment ref="G148" authorId="59" shapeId="0" xr:uid="{CA2BCA76-D0B8-42C0-92F3-99FFD9064668}">
      <text>
        <t>[Threaded comment]
Your version of Excel allows you to read this threaded comment; however, any edits to it will get removed if the file is opened in a newer version of Excel. Learn more: https://go.microsoft.com/fwlink/?linkid=870924
Comment:
    Link antigo: https://youtu.be/RRYmzsyT2hM</t>
      </text>
    </comment>
    <comment ref="K148" authorId="60" shapeId="0" xr:uid="{C49D79A8-69BD-45DC-AC1C-3ACC7BD9C02D}">
      <text>
        <t>[Threaded comment]
Your version of Excel allows you to read this threaded comment; however, any edits to it will get removed if the file is opened in a newer version of Excel. Learn more: https://go.microsoft.com/fwlink/?linkid=870924
Comment:
    ID anterior 2390P013921 (reedição pronome neutro)</t>
      </text>
    </comment>
    <comment ref="G149" authorId="61" shapeId="0" xr:uid="{8CCFF167-7E7A-4CEE-87E6-D7390C73FC7B}">
      <text>
        <t>[Threaded comment]
Your version of Excel allows you to read this threaded comment; however, any edits to it will get removed if the file is opened in a newer version of Excel. Learn more: https://go.microsoft.com/fwlink/?linkid=870924
Comment:
    Link antigo: https://youtu.be/NPjhefFkjPs</t>
      </text>
    </comment>
    <comment ref="K149" authorId="62" shapeId="0" xr:uid="{91578FC7-8536-486F-954A-E7F43F54D21C}">
      <text>
        <t>[Threaded comment]
Your version of Excel allows you to read this threaded comment; however, any edits to it will get removed if the file is opened in a newer version of Excel. Learn more: https://go.microsoft.com/fwlink/?linkid=870924
Comment:
    ID anterior 2390P013922 (reedição pronome neutro)</t>
      </text>
    </comment>
    <comment ref="G150" authorId="63" shapeId="0" xr:uid="{D8132062-4529-4D0C-9E26-0486D6ED423E}">
      <text>
        <t>[Threaded comment]
Your version of Excel allows you to read this threaded comment; however, any edits to it will get removed if the file is opened in a newer version of Excel. Learn more: https://go.microsoft.com/fwlink/?linkid=870924
Comment:
    Link antigo: https://youtu.be/yPbR1E4SW80</t>
      </text>
    </comment>
    <comment ref="K150" authorId="64" shapeId="0" xr:uid="{A0A98F0E-48FC-4D13-B64F-69F128B63613}">
      <text>
        <t>[Threaded comment]
Your version of Excel allows you to read this threaded comment; however, any edits to it will get removed if the file is opened in a newer version of Excel. Learn more: https://go.microsoft.com/fwlink/?linkid=870924
Comment:
    ID anterior 2390P013923 (reedição pronome neutro)</t>
      </text>
    </comment>
    <comment ref="G151" authorId="65" shapeId="0" xr:uid="{3CB9F7FF-4EEA-4D82-9440-ED84F61B4F72}">
      <text>
        <t>[Threaded comment]
Your version of Excel allows you to read this threaded comment; however, any edits to it will get removed if the file is opened in a newer version of Excel. Learn more: https://go.microsoft.com/fwlink/?linkid=870924
Comment:
    Link antigo: https://youtu.be/ftW38H3qy2g</t>
      </text>
    </comment>
    <comment ref="K151" authorId="66" shapeId="0" xr:uid="{AF2BC795-FE90-49AC-803F-4C82D455C015}">
      <text>
        <t>[Threaded comment]
Your version of Excel allows you to read this threaded comment; however, any edits to it will get removed if the file is opened in a newer version of Excel. Learn more: https://go.microsoft.com/fwlink/?linkid=870924
Comment:
    ID anterior 2390P013924 (reedição pronome neutro)</t>
      </text>
    </comment>
    <comment ref="G152" authorId="67" shapeId="0" xr:uid="{010A3A30-3398-42EB-93CF-BC87B94629AE}">
      <text>
        <t>[Threaded comment]
Your version of Excel allows you to read this threaded comment; however, any edits to it will get removed if the file is opened in a newer version of Excel. Learn more: https://go.microsoft.com/fwlink/?linkid=870924
Comment:
    Link antigo: https://youtu.be/RcOL0_0PYcQ</t>
      </text>
    </comment>
    <comment ref="K152" authorId="68" shapeId="0" xr:uid="{017CEA47-ED66-4A09-88CD-D7288C41EB05}">
      <text>
        <t>[Threaded comment]
Your version of Excel allows you to read this threaded comment; however, any edits to it will get removed if the file is opened in a newer version of Excel. Learn more: https://go.microsoft.com/fwlink/?linkid=870924
Comment:
    ID anterior 2390P013925 (reedição pronome neutro)
Reply:
    ID antigo 2390P015117 (tema da aula na vinheta errado)</t>
      </text>
    </comment>
    <comment ref="G153" authorId="69" shapeId="0" xr:uid="{C25311CF-B576-44D8-94F5-93B0E41DAD99}">
      <text>
        <t>[Threaded comment]
Your version of Excel allows you to read this threaded comment; however, any edits to it will get removed if the file is opened in a newer version of Excel. Learn more: https://go.microsoft.com/fwlink/?linkid=870924
Comment:
    Link antigo: https://youtu.be/1z1F_2h1zAs</t>
      </text>
    </comment>
    <comment ref="K153" authorId="70" shapeId="0" xr:uid="{9969A349-BE7C-41ED-9A63-059095659A0C}">
      <text>
        <t>[Threaded comment]
Your version of Excel allows you to read this threaded comment; however, any edits to it will get removed if the file is opened in a newer version of Excel. Learn more: https://go.microsoft.com/fwlink/?linkid=870924
Comment:
    ID anterior 2390P013926 (reedição pronome neutro)</t>
      </text>
    </comment>
    <comment ref="G154" authorId="71" shapeId="0" xr:uid="{36FE3FE7-7F78-46DA-9DBC-BD6BF54D5B18}">
      <text>
        <t>[Threaded comment]
Your version of Excel allows you to read this threaded comment; however, any edits to it will get removed if the file is opened in a newer version of Excel. Learn more: https://go.microsoft.com/fwlink/?linkid=870924
Comment:
    Link antigo: https://youtu.be/pnnzxVZGe8s</t>
      </text>
    </comment>
    <comment ref="K154" authorId="72" shapeId="0" xr:uid="{9A55DB88-5143-40BD-8CBF-D5DA46D34157}">
      <text>
        <t>[Threaded comment]
Your version of Excel allows you to read this threaded comment; however, any edits to it will get removed if the file is opened in a newer version of Excel. Learn more: https://go.microsoft.com/fwlink/?linkid=870924
Comment:
    ID anterior 2390P013927 (reedição pronome neutro)</t>
      </text>
    </comment>
    <comment ref="F155" authorId="73" shapeId="0" xr:uid="{D614C4A3-0DAF-46A6-9289-3B123D6AC387}">
      <text>
        <t>[Threaded comment]
Your version of Excel allows you to read this threaded comment; however, any edits to it will get removed if the file is opened in a newer version of Excel. Learn more: https://go.microsoft.com/fwlink/?linkid=870924
Comment:
    ID anterior 2390P013930 (reedição pronome neutro)</t>
      </text>
    </comment>
    <comment ref="G155" authorId="74" shapeId="0" xr:uid="{700AAE6A-6374-46AE-A05A-46C1BBBCC1F6}">
      <text>
        <t>[Threaded comment]
Your version of Excel allows you to read this threaded comment; however, any edits to it will get removed if the file is opened in a newer version of Excel. Learn more: https://go.microsoft.com/fwlink/?linkid=870924
Comment:
    Link antigo: https://youtu.be/MRK7Zj3zZ0E</t>
      </text>
    </comment>
    <comment ref="K155" authorId="75" shapeId="0" xr:uid="{C7391E8E-05F5-4BBD-9CBD-EE02B1551B84}">
      <text>
        <t>[Threaded comment]
Your version of Excel allows you to read this threaded comment; however, any edits to it will get removed if the file is opened in a newer version of Excel. Learn more: https://go.microsoft.com/fwlink/?linkid=870924
Comment:
    ID anterior 2390P013929 (reedição pronome neutro)</t>
      </text>
    </comment>
    <comment ref="F156" authorId="76" shapeId="0" xr:uid="{0A7A473C-3682-4643-A84F-0F7CDFCE4572}">
      <text>
        <t>[Threaded comment]
Your version of Excel allows you to read this threaded comment; however, any edits to it will get removed if the file is opened in a newer version of Excel. Learn more: https://go.microsoft.com/fwlink/?linkid=870924
Comment:
    ID anterior 2390P013931 (reedição pronome neutro)</t>
      </text>
    </comment>
    <comment ref="G156" authorId="77" shapeId="0" xr:uid="{49056B69-806E-4300-BB75-9025DCE3C6D1}">
      <text>
        <t>[Threaded comment]
Your version of Excel allows you to read this threaded comment; however, any edits to it will get removed if the file is opened in a newer version of Excel. Learn more: https://go.microsoft.com/fwlink/?linkid=870924
Comment:
    Link antigo: https://youtu.be/MRK7Zj3zZ0E</t>
      </text>
    </comment>
    <comment ref="K156" authorId="78" shapeId="0" xr:uid="{96F0507F-3A35-435A-AD00-29FD2BAE31B3}">
      <text>
        <t>[Threaded comment]
Your version of Excel allows you to read this threaded comment; however, any edits to it will get removed if the file is opened in a newer version of Excel. Learn more: https://go.microsoft.com/fwlink/?linkid=870924
Comment:
    ID anterior 2390P013930 (reedição pronome neutro)</t>
      </text>
    </comment>
    <comment ref="G157" authorId="79" shapeId="0" xr:uid="{E25593F0-FEBC-49BF-AF84-F64730045023}">
      <text>
        <t>[Threaded comment]
Your version of Excel allows you to read this threaded comment; however, any edits to it will get removed if the file is opened in a newer version of Excel. Learn more: https://go.microsoft.com/fwlink/?linkid=870924
Comment:
    link antigo: https://youtu.be/0ahLyLxhmBQ</t>
      </text>
    </comment>
    <comment ref="K157" authorId="80" shapeId="0" xr:uid="{529771FE-33BE-4F3D-AF7B-C12B06AAE8C4}">
      <text>
        <t>[Threaded comment]
Your version of Excel allows you to read this threaded comment; however, any edits to it will get removed if the file is opened in a newer version of Excel. Learn more: https://go.microsoft.com/fwlink/?linkid=870924
Comment:
    ID anterior 2390P013931 (reedição pronome neutro)</t>
      </text>
    </comment>
    <comment ref="F158" authorId="81" shapeId="0" xr:uid="{1C81D0E1-0E1F-437F-AFC5-477345D9B3D7}">
      <text>
        <t>[Threaded comment]
Your version of Excel allows you to read this threaded comment; however, any edits to it will get removed if the file is opened in a newer version of Excel. Learn more: https://go.microsoft.com/fwlink/?linkid=870924
Comment:
    ID anterior 2390P013929 (reedição pronome neutro)</t>
      </text>
    </comment>
    <comment ref="G158" authorId="82" shapeId="0" xr:uid="{5A569204-761D-481B-94F2-5490FCADA672}">
      <text>
        <t>[Threaded comment]
Your version of Excel allows you to read this threaded comment; however, any edits to it will get removed if the file is opened in a newer version of Excel. Learn more: https://go.microsoft.com/fwlink/?linkid=870924
Comment:
    link antigo: https://youtu.be/0ahLyLxhmBQ</t>
      </text>
    </comment>
    <comment ref="G159" authorId="83" shapeId="0" xr:uid="{F8895EBD-8DF0-40D4-8637-35E37FE4D612}">
      <text>
        <t>[Threaded comment]
Your version of Excel allows you to read this threaded comment; however, any edits to it will get removed if the file is opened in a newer version of Excel. Learn more: https://go.microsoft.com/fwlink/?linkid=870924
Comment:
    link antigo: https://youtu.be/ECmK4sTsemQ</t>
      </text>
    </comment>
    <comment ref="G160" authorId="84" shapeId="0" xr:uid="{3DB3DB01-5220-4565-859B-066F6839FA8A}">
      <text>
        <t>[Threaded comment]
Your version of Excel allows you to read this threaded comment; however, any edits to it will get removed if the file is opened in a newer version of Excel. Learn more: https://go.microsoft.com/fwlink/?linkid=870924
Comment:
    link antigo: https://youtu.be/StpOaTMsC3M</t>
      </text>
    </comment>
    <comment ref="G161" authorId="85" shapeId="0" xr:uid="{5146DB4B-619E-43C1-931F-D3A2D51B0FDD}">
      <text>
        <t>[Threaded comment]
Your version of Excel allows you to read this threaded comment; however, any edits to it will get removed if the file is opened in a newer version of Excel. Learn more: https://go.microsoft.com/fwlink/?linkid=870924
Comment:
    link antigo: https://youtu.be/0ZAQBodbJS8</t>
      </text>
    </comment>
    <comment ref="G162" authorId="86" shapeId="0" xr:uid="{5C153602-B8AC-49DE-8172-28C7F1A68CCF}">
      <text>
        <t>[Threaded comment]
Your version of Excel allows you to read this threaded comment; however, any edits to it will get removed if the file is opened in a newer version of Excel. Learn more: https://go.microsoft.com/fwlink/?linkid=870924
Comment:
    link antigo: https://youtu.be/Gbf89yYpqxk</t>
      </text>
    </comment>
    <comment ref="G163" authorId="87" shapeId="0" xr:uid="{3668789A-A05F-47F4-9EC6-B5160FB6EE21}">
      <text>
        <t>[Threaded comment]
Your version of Excel allows you to read this threaded comment; however, any edits to it will get removed if the file is opened in a newer version of Excel. Learn more: https://go.microsoft.com/fwlink/?linkid=870924
Comment:
    Link antigo:  https://youtu.be/wOfu09inRu8</t>
      </text>
    </comment>
    <comment ref="G164" authorId="88" shapeId="0" xr:uid="{00AE3BFC-21E2-4D49-931E-06AF87318E15}">
      <text>
        <t>[Threaded comment]
Your version of Excel allows you to read this threaded comment; however, any edits to it will get removed if the file is opened in a newer version of Excel. Learn more: https://go.microsoft.com/fwlink/?linkid=870924
Comment:
    Link antigo: https://youtu.be/aniLkQzAw2U</t>
      </text>
    </comment>
    <comment ref="G165" authorId="89" shapeId="0" xr:uid="{8A314A43-57ED-4D88-A232-621FEA6C11ED}">
      <text>
        <t>[Threaded comment]
Your version of Excel allows you to read this threaded comment; however, any edits to it will get removed if the file is opened in a newer version of Excel. Learn more: https://go.microsoft.com/fwlink/?linkid=870924
Comment:
    Link antigo:https://youtu.be/GDZnEM1Y1GQ</t>
      </text>
    </comment>
    <comment ref="K165" authorId="90" shapeId="0" xr:uid="{D51D30C8-2E2B-4AE0-B374-544E7F662AB4}">
      <text>
        <t>[Threaded comment]
Your version of Excel allows you to read this threaded comment; however, any edits to it will get removed if the file is opened in a newer version of Excel. Learn more: https://go.microsoft.com/fwlink/?linkid=870924
Comment:
    ID anterior 2390P013938 (reedição pronome neutro)</t>
      </text>
    </comment>
    <comment ref="G166" authorId="91" shapeId="0" xr:uid="{EB0513B7-3F19-49F6-A939-68846A6FC899}">
      <text>
        <t>[Threaded comment]
Your version of Excel allows you to read this threaded comment; however, any edits to it will get removed if the file is opened in a newer version of Excel. Learn more: https://go.microsoft.com/fwlink/?linkid=870924
Comment:
    Link antigo: https://youtu.be/RPv-jzAjvew</t>
      </text>
    </comment>
    <comment ref="K166" authorId="92" shapeId="0" xr:uid="{0306A7AB-54F5-48C2-8B4A-49FBBA047198}">
      <text>
        <t>[Threaded comment]
Your version of Excel allows you to read this threaded comment; however, any edits to it will get removed if the file is opened in a newer version of Excel. Learn more: https://go.microsoft.com/fwlink/?linkid=870924
Comment:
    ID anterior 2390P013939 (reedição pronome neutro)
Reply:
    ID antigo 2390P015124  (tema da aula na vinheta errado)</t>
      </text>
    </comment>
    <comment ref="G167" authorId="93" shapeId="0" xr:uid="{C1FC42B4-EF5E-4F75-A3B9-87359EF9ECB0}">
      <text>
        <t>[Threaded comment]
Your version of Excel allows you to read this threaded comment; however, any edits to it will get removed if the file is opened in a newer version of Excel. Learn more: https://go.microsoft.com/fwlink/?linkid=870924
Comment:
    Link antigo:  https://youtu.be/fshkP0oIRZs</t>
      </text>
    </comment>
    <comment ref="K167" authorId="94" shapeId="0" xr:uid="{34189EF9-FB95-4A02-8A6E-B66C9BBE82C3}">
      <text>
        <t>[Threaded comment]
Your version of Excel allows you to read this threaded comment; however, any edits to it will get removed if the file is opened in a newer version of Excel. Learn more: https://go.microsoft.com/fwlink/?linkid=870924
Comment:
    ID anterior 2390P013940 (reedição pronome neutro)</t>
      </text>
    </comment>
    <comment ref="G182" authorId="95" shapeId="0" xr:uid="{3F7E508B-C9E6-4CC7-A41B-6EE694127CAF}">
      <text>
        <t>[Threaded comment]
Your version of Excel allows you to read this threaded comment; however, any edits to it will get removed if the file is opened in a newer version of Excel. Learn more: https://go.microsoft.com/fwlink/?linkid=870924
Comment:
    Link antigo: https://youtu.be/4xkb9DdcxiA</t>
      </text>
    </comment>
    <comment ref="K182" authorId="96" shapeId="0" xr:uid="{D9469806-E8C1-45A1-814C-1B31FD6CC44A}">
      <text>
        <t>[Threaded comment]
Your version of Excel allows you to read this threaded comment; however, any edits to it will get removed if the file is opened in a newer version of Excel. Learn more: https://go.microsoft.com/fwlink/?linkid=870924
Comment:
    Id anterior 2390P015096 (cartela errada)
Reply:
    ID anterior 2390P015390 (aula reprovada pela Univesp - fórmulas erradas)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tc={53D2646C-A174-4D60-B6E6-8CB40A68B91B}</author>
    <author>tc={9389A33D-E24E-4752-828F-C64C730758DA}</author>
    <author>tc={4DF5DAB6-1253-4643-B6F9-2A9ABB869CF6}</author>
    <author>tc={C90CADCD-BC4F-43CD-B7B8-4D982A1634E3}</author>
    <author>tc={CC895999-475C-4DA6-B11E-204972DD6D4E}</author>
    <author>tc={704F1C0A-1174-4FF3-8BA4-00D46E240378}</author>
    <author>tc={92CE9124-A34B-41E8-B3A7-DF916C86E071}</author>
    <author>tc={CF4B35DF-05D1-4AC1-A268-A1E909B0F30B}</author>
    <author>tc={0A87DFF7-74A7-47F3-9B0D-FDF6C6808747}</author>
    <author>tc={4B487E18-B4E9-4D99-B03D-42C31BABD9F0}</author>
    <author>tc={4E5E2E08-5ABB-40DB-9090-88A033DADE3A}</author>
    <author>tc={D13BF107-3E42-4F6A-985D-E47BB37D9613}</author>
    <author>tc={387CD0B2-5D16-4A6C-A2C5-E66A1D72E107}</author>
    <author>tc={8F9435B6-8B68-443E-BFF1-108F4A6A23BE}</author>
    <author>tc={8B3FB7AC-E8EC-4D1F-A4D5-6A9324E9EADE}</author>
    <author>tc={79695FDF-B34B-4CD7-A485-DD3993697800}</author>
    <author>tc={515E0DC9-F14A-4805-8BF6-9867A7927FFE}</author>
    <author>tc={04F4B2EE-CF28-4674-9B78-FB83BE3AD090}</author>
    <author>tc={7BD560FD-4C80-4D75-9D65-5C05930220DD}</author>
    <author>tc={9C29B8AC-F711-4946-9ADE-B521A9F7453B}</author>
    <author>tc={651A7267-B869-449D-9B99-8F9497925FC6}</author>
    <author>tc={254D4EE7-35D6-4C28-B8AF-3BA4A67885D0}</author>
    <author>tc={D303DD5F-7DC1-42FF-8D7A-AC69CC170023}</author>
    <author>Daniel Marcelo Dantas</author>
    <author>tc={DED81163-09A1-464D-96F6-4070EB9EDD1C}</author>
    <author>tc={F25DCA1F-3AAB-4774-8686-7EA5E999EA09}</author>
    <author>tc={969AE0FC-C2E7-4B2E-A8D0-25E1BC91FE21}</author>
    <author>tc={EA9884EE-C098-4762-BCB5-EE1381FAEEAB}</author>
    <author>tc={A420DAFD-461F-430D-B913-D9647C545B9D}</author>
    <author>tc={9149699A-A1D5-43CF-A819-81EA0F22FFA9}</author>
    <author>tc={7AF0747D-A236-4A64-9466-6C5AD6E7C598}</author>
    <author>tc={A3E56AE7-21B9-4E4D-B4CF-E0C2712A4AAD}</author>
    <author>tc={C849CB30-4541-4B44-97A5-1F2EEEF8DF7F}</author>
    <author>tc={4A602641-D735-4537-AF7B-1B54898BA4BB}</author>
    <author>tc={E7DBD147-67A3-40A6-BFC0-FE9F5EA8DB48}</author>
    <author>tc={835CF3D1-F546-4351-B637-A11A504AF8AC}</author>
    <author>tc={DC9BFAFE-D8E7-4CFA-8DBE-A002E1FB02DF}</author>
    <author>tc={0772AA62-28C2-49EB-AA5B-29E4E02312BF}</author>
    <author>tc={E54E651C-BC2E-4416-A26D-FCE7C61321FF}</author>
    <author>tc={B4A3D233-ADF1-42B0-A291-C074153FD2DF}</author>
    <author>tc={26AE18A6-5BFC-4B4D-85AB-37AFC45A93C5}</author>
    <author>tc={21E24857-FBAD-49C3-8A97-0BCF80349CA1}</author>
    <author>tc={CFD77154-CBD3-49EA-A522-F91FC16F8EEF}</author>
    <author>tc={C6CF55A1-7893-4E69-AEE0-FE71F653CBF1}</author>
    <author>tc={66E775D5-0D52-402E-B12D-665367F8181B}</author>
    <author>tc={7E33669E-E350-4ECB-9B07-85EA78F295BA}</author>
    <author>tc={A6EA22F4-411E-4698-B1F4-2E190CD63887}</author>
    <author>tc={567790F9-E3DD-423D-BF7E-4945A6D326DF}</author>
    <author>tc={ED3CDDCF-9B1F-4272-A4B0-36209AD800B5}</author>
    <author>tc={AE3AFF9C-7234-480C-AD57-E966AABE7838}</author>
    <author>tc={36F3BD17-FE6E-4F4C-913A-C12F44878AF0}</author>
    <author>tc={53059942-8CC6-49D7-B446-CAD70BA5E958}</author>
    <author>tc={F56DE56A-00C1-45A9-81EC-23DE66DA57F9}</author>
    <author>tc={CE4BA95F-615C-4B7B-B6E0-1A38ABD8032F}</author>
  </authors>
  <commentList>
    <comment ref="K4" authorId="0" shapeId="0" xr:uid="{53D2646C-A174-4D60-B6E6-8CB40A68B91B}">
      <text>
        <t>[Threaded comment]
Your version of Excel allows you to read this threaded comment; however, any edits to it will get removed if the file is opened in a newer version of Excel. Learn more: https://go.microsoft.com/fwlink/?linkid=870924
Comment:
    Id anterior 2390P013620 (título da aula errado)</t>
      </text>
    </comment>
    <comment ref="G5" authorId="1" shapeId="0" xr:uid="{9389A33D-E24E-4752-828F-C64C730758D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@Larissa Marcela dos Santos o link das aulas 2 e 3 estão iguais
Reply:
    Corrigido!</t>
      </text>
    </comment>
    <comment ref="K8" authorId="2" shapeId="0" xr:uid="{4DF5DAB6-1253-4643-B6F9-2A9ABB869CF6}">
      <text>
        <t>[Threaded comment]
Your version of Excel allows you to read this threaded comment; however, any edits to it will get removed if the file is opened in a newer version of Excel. Learn more: https://go.microsoft.com/fwlink/?linkid=870924
Comment:
    ID anterior 2390P013624</t>
      </text>
    </comment>
    <comment ref="K12" authorId="3" shapeId="0" xr:uid="{C90CADCD-BC4F-43CD-B7B8-4D982A1634E3}">
      <text>
        <t>[Threaded comment]
Your version of Excel allows you to read this threaded comment; however, any edits to it will get removed if the file is opened in a newer version of Excel. Learn more: https://go.microsoft.com/fwlink/?linkid=870924
Comment:
    ID anterior 2390P013789 (áudio com ruído)</t>
      </text>
    </comment>
    <comment ref="G13" authorId="4" shapeId="0" xr:uid="{CC895999-475C-4DA6-B11E-204972DD6D4E}">
      <text>
        <t>[Threaded comment]
Your version of Excel allows you to read this threaded comment; however, any edits to it will get removed if the file is opened in a newer version of Excel. Learn more: https://go.microsoft.com/fwlink/?linkid=870924
Comment:
    https://youtu.be/Z07LH-RGKpo</t>
      </text>
    </comment>
    <comment ref="K13" authorId="5" shapeId="0" xr:uid="{704F1C0A-1174-4FF3-8BA4-00D46E240378}">
      <text>
        <t>[Threaded comment]
Your version of Excel allows you to read this threaded comment; however, any edits to it will get removed if the file is opened in a newer version of Excel. Learn more: https://go.microsoft.com/fwlink/?linkid=870924
Comment:
    ID anterior 2390P013790 (áudio com ruído)</t>
      </text>
    </comment>
    <comment ref="K14" authorId="6" shapeId="0" xr:uid="{92CE9124-A34B-41E8-B3A7-DF916C86E071}">
      <text>
        <t>[Threaded comment]
Your version of Excel allows you to read this threaded comment; however, any edits to it will get removed if the file is opened in a newer version of Excel. Learn more: https://go.microsoft.com/fwlink/?linkid=870924
Comment:
    ID anterior 2390P013791 (áudio com ruído)</t>
      </text>
    </comment>
    <comment ref="G16" authorId="7" shapeId="0" xr:uid="{CF4B35DF-05D1-4AC1-A268-A1E909B0F30B}">
      <text>
        <t>[Threaded comment]
Your version of Excel allows you to read this threaded comment; however, any edits to it will get removed if the file is opened in a newer version of Excel. Learn more: https://go.microsoft.com/fwlink/?linkid=870924
Comment:
    https://youtu.be/P943tluehDM</t>
      </text>
    </comment>
    <comment ref="K19" authorId="8" shapeId="0" xr:uid="{0A87DFF7-74A7-47F3-9B0D-FDF6C6808747}">
      <text>
        <t>[Threaded comment]
Your version of Excel allows you to read this threaded comment; however, any edits to it will get removed if the file is opened in a newer version of Excel. Learn more: https://go.microsoft.com/fwlink/?linkid=870924
Comment:
    ID anterior 2390P013796 (sem trilha na abertura)
Reply:
    ID anterior 2390P015215 (sem trilha de abertura)</t>
      </text>
    </comment>
    <comment ref="K29" authorId="9" shapeId="0" xr:uid="{4B487E18-B4E9-4D99-B03D-42C31BABD9F0}">
      <text>
        <t>[Threaded comment]
Your version of Excel allows you to read this threaded comment; however, any edits to it will get removed if the file is opened in a newer version of Excel. Learn more: https://go.microsoft.com/fwlink/?linkid=870924
Comment:
    Id antigo: 2390P013805</t>
      </text>
    </comment>
    <comment ref="G31" authorId="10" shapeId="0" xr:uid="{4E5E2E08-5ABB-40DB-9090-88A033DADE3A}">
      <text>
        <t>[Threaded comment]
Your version of Excel allows you to read this threaded comment; however, any edits to it will get removed if the file is opened in a newer version of Excel. Learn more: https://go.microsoft.com/fwlink/?linkid=870924
Comment:
    https://youtu.be/xQou4LKzrys</t>
      </text>
    </comment>
    <comment ref="G32" authorId="11" shapeId="0" xr:uid="{D13BF107-3E42-4F6A-985D-E47BB37D9613}">
      <text>
        <t>[Threaded comment]
Your version of Excel allows you to read this threaded comment; however, any edits to it will get removed if the file is opened in a newer version of Excel. Learn more: https://go.microsoft.com/fwlink/?linkid=870924
Comment:
    https://www.youtube.com/watch?v=mgZxYJIUeO0</t>
      </text>
    </comment>
    <comment ref="G33" authorId="12" shapeId="0" xr:uid="{387CD0B2-5D16-4A6C-A2C5-E66A1D72E107}">
      <text>
        <t>[Threaded comment]
Your version of Excel allows you to read this threaded comment; however, any edits to it will get removed if the file is opened in a newer version of Excel. Learn more: https://go.microsoft.com/fwlink/?linkid=870924
Comment:
    https://youtu.be/_nweh9bsR2A</t>
      </text>
    </comment>
    <comment ref="G34" authorId="13" shapeId="0" xr:uid="{8F9435B6-8B68-443E-BFF1-108F4A6A23BE}">
      <text>
        <t>[Threaded comment]
Your version of Excel allows you to read this threaded comment; however, any edits to it will get removed if the file is opened in a newer version of Excel. Learn more: https://go.microsoft.com/fwlink/?linkid=870924
Comment:
    https://youtu.be/IZyTojBIeug</t>
      </text>
    </comment>
    <comment ref="G35" authorId="14" shapeId="0" xr:uid="{8B3FB7AC-E8EC-4D1F-A4D5-6A9324E9EADE}">
      <text>
        <t>[Threaded comment]
Your version of Excel allows you to read this threaded comment; however, any edits to it will get removed if the file is opened in a newer version of Excel. Learn more: https://go.microsoft.com/fwlink/?linkid=870924
Comment:
    https://youtu.be/62-hmiGJXYE</t>
      </text>
    </comment>
    <comment ref="G36" authorId="15" shapeId="0" xr:uid="{79695FDF-B34B-4CD7-A485-DD3993697800}">
      <text>
        <t>[Threaded comment]
Your version of Excel allows you to read this threaded comment; however, any edits to it will get removed if the file is opened in a newer version of Excel. Learn more: https://go.microsoft.com/fwlink/?linkid=870924
Comment:
    https://youtu.be/uKDT1tyRa0o</t>
      </text>
    </comment>
    <comment ref="G37" authorId="16" shapeId="0" xr:uid="{515E0DC9-F14A-4805-8BF6-9867A7927FFE}">
      <text>
        <t>[Threaded comment]
Your version of Excel allows you to read this threaded comment; however, any edits to it will get removed if the file is opened in a newer version of Excel. Learn more: https://go.microsoft.com/fwlink/?linkid=870924
Comment:
    https://youtu.be/bPIcnBHpT6Y</t>
      </text>
    </comment>
    <comment ref="G38" authorId="17" shapeId="0" xr:uid="{04F4B2EE-CF28-4674-9B78-FB83BE3AD090}">
      <text>
        <t>[Threaded comment]
Your version of Excel allows you to read this threaded comment; however, any edits to it will get removed if the file is opened in a newer version of Excel. Learn more: https://go.microsoft.com/fwlink/?linkid=870924
Comment:
    https://youtu.be/sDKMJbn4WLg</t>
      </text>
    </comment>
    <comment ref="G39" authorId="18" shapeId="0" xr:uid="{7BD560FD-4C80-4D75-9D65-5C05930220DD}">
      <text>
        <t>[Threaded comment]
Your version of Excel allows you to read this threaded comment; however, any edits to it will get removed if the file is opened in a newer version of Excel. Learn more: https://go.microsoft.com/fwlink/?linkid=870924
Comment:
    https://youtu.be/1PF-enQC-8s</t>
      </text>
    </comment>
    <comment ref="G40" authorId="19" shapeId="0" xr:uid="{9C29B8AC-F711-4946-9ADE-B521A9F7453B}">
      <text>
        <t>[Threaded comment]
Your version of Excel allows you to read this threaded comment; however, any edits to it will get removed if the file is opened in a newer version of Excel. Learn more: https://go.microsoft.com/fwlink/?linkid=870924
Comment:
    https://youtu.be/e42GvC1IqHI</t>
      </text>
    </comment>
    <comment ref="G41" authorId="20" shapeId="0" xr:uid="{651A7267-B869-449D-9B99-8F9497925FC6}">
      <text>
        <t>[Threaded comment]
Your version of Excel allows you to read this threaded comment; however, any edits to it will get removed if the file is opened in a newer version of Excel. Learn more: https://go.microsoft.com/fwlink/?linkid=870924
Comment:
    https://youtu.be/3yRU5Yu3JPc</t>
      </text>
    </comment>
    <comment ref="G42" authorId="21" shapeId="0" xr:uid="{254D4EE7-35D6-4C28-B8AF-3BA4A67885D0}">
      <text>
        <t>[Threaded comment]
Your version of Excel allows you to read this threaded comment; however, any edits to it will get removed if the file is opened in a newer version of Excel. Learn more: https://go.microsoft.com/fwlink/?linkid=870924
Comment:
    https://youtu.be/rMA37TGxjlQ</t>
      </text>
    </comment>
    <comment ref="G43" authorId="22" shapeId="0" xr:uid="{D303DD5F-7DC1-42FF-8D7A-AC69CC170023}">
      <text>
        <t>[Threaded comment]
Your version of Excel allows you to read this threaded comment; however, any edits to it will get removed if the file is opened in a newer version of Excel. Learn more: https://go.microsoft.com/fwlink/?linkid=870924
Comment:
    https://youtu.be/lp12iVyPZL4</t>
      </text>
    </comment>
    <comment ref="H43" authorId="23" shapeId="0" xr:uid="{8E6E84B1-523E-4C9F-BEDD-AC8614061DA7}">
      <text>
        <r>
          <rPr>
            <sz val="11"/>
            <color theme="1"/>
            <rFont val="Calibri"/>
            <family val="2"/>
            <scheme val="minor"/>
          </rPr>
          <t>Daniel Marcelo Dantas:
Os slides utilizados pelo conteudista na gravação divergem destes.</t>
        </r>
      </text>
    </comment>
    <comment ref="G44" authorId="24" shapeId="0" xr:uid="{DED81163-09A1-464D-96F6-4070EB9EDD1C}">
      <text>
        <t>[Threaded comment]
Your version of Excel allows you to read this threaded comment; however, any edits to it will get removed if the file is opened in a newer version of Excel. Learn more: https://go.microsoft.com/fwlink/?linkid=870924
Comment:
    https://youtu.be/lRNX75Y1AbY</t>
      </text>
    </comment>
    <comment ref="G45" authorId="25" shapeId="0" xr:uid="{F25DCA1F-3AAB-4774-8686-7EA5E999EA09}">
      <text>
        <t>[Threaded comment]
Your version of Excel allows you to read this threaded comment; however, any edits to it will get removed if the file is opened in a newer version of Excel. Learn more: https://go.microsoft.com/fwlink/?linkid=870924
Comment:
    https://youtu.be/4iOFBEJ_3DY</t>
      </text>
    </comment>
    <comment ref="G46" authorId="26" shapeId="0" xr:uid="{969AE0FC-C2E7-4B2E-A8D0-25E1BC91FE21}">
      <text>
        <t>[Threaded comment]
Your version of Excel allows you to read this threaded comment; however, any edits to it will get removed if the file is opened in a newer version of Excel. Learn more: https://go.microsoft.com/fwlink/?linkid=870924
Comment:
    https://youtu.be/r_dRG6GoavA</t>
      </text>
    </comment>
    <comment ref="G47" authorId="27" shapeId="0" xr:uid="{EA9884EE-C098-4762-BCB5-EE1381FAEEAB}">
      <text>
        <t>[Threaded comment]
Your version of Excel allows you to read this threaded comment; however, any edits to it will get removed if the file is opened in a newer version of Excel. Learn more: https://go.microsoft.com/fwlink/?linkid=870924
Comment:
    https://youtu.be/wuqN2KWfUwk</t>
      </text>
    </comment>
    <comment ref="G48" authorId="28" shapeId="0" xr:uid="{A420DAFD-461F-430D-B913-D9647C545B9D}">
      <text>
        <t>[Threaded comment]
Your version of Excel allows you to read this threaded comment; however, any edits to it will get removed if the file is opened in a newer version of Excel. Learn more: https://go.microsoft.com/fwlink/?linkid=870924
Comment:
    https://youtu.be/Us5_X1wMesk</t>
      </text>
    </comment>
    <comment ref="G49" authorId="29" shapeId="0" xr:uid="{9149699A-A1D5-43CF-A819-81EA0F22FFA9}">
      <text>
        <t>[Threaded comment]
Your version of Excel allows you to read this threaded comment; however, any edits to it will get removed if the file is opened in a newer version of Excel. Learn more: https://go.microsoft.com/fwlink/?linkid=870924
Comment:
    https://youtu.be/U99wLn8ZXLU</t>
      </text>
    </comment>
    <comment ref="G50" authorId="30" shapeId="0" xr:uid="{7AF0747D-A236-4A64-9466-6C5AD6E7C598}">
      <text>
        <t>[Threaded comment]
Your version of Excel allows you to read this threaded comment; however, any edits to it will get removed if the file is opened in a newer version of Excel. Learn more: https://go.microsoft.com/fwlink/?linkid=870924
Comment:
    https://youtu.be/uZIxec-dzTE</t>
      </text>
    </comment>
    <comment ref="G51" authorId="31" shapeId="0" xr:uid="{A3E56AE7-21B9-4E4D-B4CF-E0C2712A4AAD}">
      <text>
        <t>[Threaded comment]
Your version of Excel allows you to read this threaded comment; however, any edits to it will get removed if the file is opened in a newer version of Excel. Learn more: https://go.microsoft.com/fwlink/?linkid=870924
Comment:
    https://youtu.be/LXNQ0LlN07o</t>
      </text>
    </comment>
    <comment ref="G52" authorId="32" shapeId="0" xr:uid="{C849CB30-4541-4B44-97A5-1F2EEEF8DF7F}">
      <text>
        <t>[Threaded comment]
Your version of Excel allows you to read this threaded comment; however, any edits to it will get removed if the file is opened in a newer version of Excel. Learn more: https://go.microsoft.com/fwlink/?linkid=870924
Comment:
    https://youtu.be/PHJpRlJdYs4</t>
      </text>
    </comment>
    <comment ref="K78" authorId="33" shapeId="0" xr:uid="{4A602641-D735-4537-AF7B-1B54898BA4BB}">
      <text>
        <t>[Threaded comment]
Your version of Excel allows you to read this threaded comment; however, any edits to it will get removed if the file is opened in a newer version of Excel. Learn more: https://go.microsoft.com/fwlink/?linkid=870924
Comment:
    ID anterior 2390P013460 (sem trilha de abertura)</t>
      </text>
    </comment>
    <comment ref="G79" authorId="34" shapeId="0" xr:uid="{E7DBD147-67A3-40A6-BFC0-FE9F5EA8DB48}">
      <text>
        <t>[Threaded comment]
Your version of Excel allows you to read this threaded comment; however, any edits to it will get removed if the file is opened in a newer version of Excel. Learn more: https://go.microsoft.com/fwlink/?linkid=870924
Comment:
    Link antigo: https://youtu.be/03pIBSiAqRU</t>
      </text>
    </comment>
    <comment ref="K84" authorId="35" shapeId="0" xr:uid="{835CF3D1-F546-4351-B637-A11A504AF8AC}">
      <text>
        <t>[Threaded comment]
Your version of Excel allows you to read this threaded comment; however, any edits to it will get removed if the file is opened in a newer version of Excel. Learn more: https://go.microsoft.com/fwlink/?linkid=870924
Comment:
    ID anterior 2390P013466 (sem trilha de abertura)</t>
      </text>
    </comment>
    <comment ref="G85" authorId="36" shapeId="0" xr:uid="{DC9BFAFE-D8E7-4CFA-8DBE-A002E1FB02DF}">
      <text>
        <t>[Threaded comment]
Your version of Excel allows you to read this threaded comment; however, any edits to it will get removed if the file is opened in a newer version of Excel. Learn more: https://go.microsoft.com/fwlink/?linkid=870924
Comment:
    Link antigo: https://youtu.be/qxdHc9mxTmM</t>
      </text>
    </comment>
    <comment ref="G86" authorId="37" shapeId="0" xr:uid="{0772AA62-28C2-49EB-AA5B-29E4E02312BF}">
      <text>
        <t>[Threaded comment]
Your version of Excel allows you to read this threaded comment; however, any edits to it will get removed if the file is opened in a newer version of Excel. Learn more: https://go.microsoft.com/fwlink/?linkid=870924
Comment:
    Link antigo: https://youtu.be/ARPXcNF7A3A</t>
      </text>
    </comment>
    <comment ref="G87" authorId="38" shapeId="0" xr:uid="{E54E651C-BC2E-4416-A26D-FCE7C61321FF}">
      <text>
        <t>[Threaded comment]
Your version of Excel allows you to read this threaded comment; however, any edits to it will get removed if the file is opened in a newer version of Excel. Learn more: https://go.microsoft.com/fwlink/?linkid=870924
Comment:
    Link antigo: https://youtu.be/g4ntV0gthb0</t>
      </text>
    </comment>
    <comment ref="G88" authorId="39" shapeId="0" xr:uid="{B4A3D233-ADF1-42B0-A291-C074153FD2DF}">
      <text>
        <t>[Threaded comment]
Your version of Excel allows you to read this threaded comment; however, any edits to it will get removed if the file is opened in a newer version of Excel. Learn more: https://go.microsoft.com/fwlink/?linkid=870924
Comment:
    Link antigo: https://youtu.be/Ov4j8xxZAHE</t>
      </text>
    </comment>
    <comment ref="G93" authorId="40" shapeId="0" xr:uid="{26AE18A6-5BFC-4B4D-85AB-37AFC45A93C5}">
      <text>
        <t>[Threaded comment]
Your version of Excel allows you to read this threaded comment; however, any edits to it will get removed if the file is opened in a newer version of Excel. Learn more: https://go.microsoft.com/fwlink/?linkid=870924
Comment:
    Link antigo: https://youtu.be/JcJUcm71lh4</t>
      </text>
    </comment>
    <comment ref="K93" authorId="41" shapeId="0" xr:uid="{21E24857-FBAD-49C3-8A97-0BCF80349CA1}">
      <text>
        <t>[Threaded comment]
Your version of Excel allows you to read this threaded comment; however, any edits to it will get removed if the file is opened in a newer version of Excel. Learn more: https://go.microsoft.com/fwlink/?linkid=870924
Comment:
    ID anterior 2390P015414 (foi aprovada a aula 01)</t>
      </text>
    </comment>
    <comment ref="G103" authorId="42" shapeId="0" xr:uid="{CFD77154-CBD3-49EA-A522-F91FC16F8E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https://youtu.be/3vUYZjTumTU
Reply:
    @Paula de Lima Suzart link trocado o anterior deu erro na conversão e não estava completo</t>
      </text>
    </comment>
    <comment ref="G130" authorId="43" shapeId="0" xr:uid="{C6CF55A1-7893-4E69-AEE0-FE71F653CBF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Link antigo: https://youtu.be/B1Yg_NASNx8
Reply:
    @Paula de Lima Suzart link trocado o anterior estava com o título da aula incorreto na vht</t>
      </text>
    </comment>
    <comment ref="G179" authorId="44" shapeId="0" xr:uid="{66E775D5-0D52-402E-B12D-665367F8181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https://youtu.be/pOSaWmwx9rI
Reply:
    @Paula de Lima Suzart </t>
      </text>
    </comment>
    <comment ref="G180" authorId="45" shapeId="0" xr:uid="{7E33669E-E350-4ECB-9B07-85EA78F295B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@Paula de Lima Suzart </t>
      </text>
    </comment>
    <comment ref="K181" authorId="46" shapeId="0" xr:uid="{A6EA22F4-411E-4698-B1F4-2E190CD63887}">
      <text>
        <t>[Threaded comment]
Your version of Excel allows you to read this threaded comment; however, any edits to it will get removed if the file is opened in a newer version of Excel. Learn more: https://go.microsoft.com/fwlink/?linkid=870924
Comment:
    ID anterior 2390P014056 (áudio com ruído)</t>
      </text>
    </comment>
    <comment ref="K183" authorId="47" shapeId="0" xr:uid="{567790F9-E3DD-423D-BF7E-4945A6D326DF}">
      <text>
        <t>[Threaded comment]
Your version of Excel allows you to read this threaded comment; however, any edits to it will get removed if the file is opened in a newer version of Excel. Learn more: https://go.microsoft.com/fwlink/?linkid=870924
Comment:
    ID anterior 2390P014058 (áudio com ruído)</t>
      </text>
    </comment>
    <comment ref="K184" authorId="48" shapeId="0" xr:uid="{ED3CDDCF-9B1F-4272-A4B0-36209AD800B5}">
      <text>
        <t>[Threaded comment]
Your version of Excel allows you to read this threaded comment; however, any edits to it will get removed if the file is opened in a newer version of Excel. Learn more: https://go.microsoft.com/fwlink/?linkid=870924
Comment:
    ID anterior 2390P014059 (áudio com ruído)</t>
      </text>
    </comment>
    <comment ref="K185" authorId="49" shapeId="0" xr:uid="{AE3AFF9C-7234-480C-AD57-E966AABE7838}">
      <text>
        <t>[Threaded comment]
Your version of Excel allows you to read this threaded comment; however, any edits to it will get removed if the file is opened in a newer version of Excel. Learn more: https://go.microsoft.com/fwlink/?linkid=870924
Comment:
    ID anterior 2390P014060 (áudio com ruído)</t>
      </text>
    </comment>
    <comment ref="K186" authorId="50" shapeId="0" xr:uid="{36F3BD17-FE6E-4F4C-913A-C12F44878AF0}">
      <text>
        <t>[Threaded comment]
Your version of Excel allows you to read this threaded comment; however, any edits to it will get removed if the file is opened in a newer version of Excel. Learn more: https://go.microsoft.com/fwlink/?linkid=870924
Comment:
    ID anterior 2390P014439 (áudio com ruído)</t>
      </text>
    </comment>
    <comment ref="G189" authorId="51" shapeId="0" xr:uid="{53059942-8CC6-49D7-B446-CAD70BA5E95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Link antigo: https://youtu.be/-tVKXLIV2HI
Reply:
    @Wesley de Souza Lima link trocado, feita alteração pedida pela professora
Reply:
    @Raquel PSC - Já foi alterado no AVA</t>
      </text>
    </comment>
    <comment ref="K193" authorId="52" shapeId="0" xr:uid="{F56DE56A-00C1-45A9-81EC-23DE66DA57F9}">
      <text>
        <t>[Threaded comment]
Your version of Excel allows you to read this threaded comment; however, any edits to it will get removed if the file is opened in a newer version of Excel. Learn more: https://go.microsoft.com/fwlink/?linkid=870924
Comment:
    ID anterior 2390P014530 (professora regravou)</t>
      </text>
    </comment>
    <comment ref="K198" authorId="53" shapeId="0" xr:uid="{CE4BA95F-615C-4B7B-B6E0-1A38ABD8032F}">
      <text>
        <t>[Threaded comment]
Your version of Excel allows you to read this threaded comment; however, any edits to it will get removed if the file is opened in a newer version of Excel. Learn more: https://go.microsoft.com/fwlink/?linkid=870924
Comment:
    ID anterior 2390P014535 (aula não vale mais)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tc={DD8CF017-D939-4B8A-8237-B42D951A48BC}</author>
    <author>tc={76A68303-8A44-40C7-87FD-78E1A41AFF14}</author>
    <author>tc={FBF76536-B502-4D92-B1E7-CAF54FBEC8BF}</author>
    <author>tc={4762FC42-E96A-4ADC-B6EF-4CAFE99AC604}</author>
    <author>tc={D1F67EF4-DD06-4A82-BB23-804AD1267256}</author>
    <author>tc={7A41716F-AD87-4EE3-817C-9AB32AFBC63A}</author>
    <author>tc={3DCFBC07-930E-453C-B55B-79EFA8B3FCF8}</author>
    <author>tc={0B10F6B0-3C60-427D-878A-075F10727DF1}</author>
    <author>tc={E32A0A48-3346-4356-8D8B-BDE5F049CB94}</author>
    <author>tc={65681E47-4D14-47AD-A118-9ED9DBCD68A4}</author>
    <author>tc={99EC424C-2B7F-46C8-B212-87E4D8C14400}</author>
    <author>tc={4558119C-4DEF-45D3-B2CE-300B2ADFE59A}</author>
    <author>tc={C4103E45-1698-4089-BD04-E9EA5F28313A}</author>
    <author>tc={C0FAF353-BEA1-401D-B082-8DD26F4EDAA8}</author>
    <author>tc={B6E71435-B8A1-4ABB-92F3-D2339981417E}</author>
    <author>tc={2BACE2B1-111A-42C3-91AB-9FC6DFA24308}</author>
  </authors>
  <commentList>
    <comment ref="G1" authorId="0" shapeId="0" xr:uid="{DD8CF017-D939-4B8A-8237-B42D951A48BC}">
      <text>
        <t>[Threaded comment]
Your version of Excel allows you to read this threaded comment; however, any edits to it will get removed if the file is opened in a newer version of Excel. Learn more: https://go.microsoft.com/fwlink/?linkid=870924
Comment:
    Definir datas de entrega para 1 e 2. 
Reply:
    Início 3bi: 29jul
Início 4bi: 30set</t>
      </text>
    </comment>
    <comment ref="J93" authorId="1" shapeId="0" xr:uid="{76A68303-8A44-40C7-87FD-78E1A41AFF1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@Paula de Lima Conceicao , pelo que vi no AVA o link para videoaula da quinzena 2 com audiodescrição não está ainda lá. </t>
      </text>
    </comment>
    <comment ref="E99" authorId="2" shapeId="0" xr:uid="{FBF76536-B502-4D92-B1E7-CAF54FBEC8BF}">
      <text>
        <t>[Threaded comment]
Your version of Excel allows you to read this threaded comment; however, any edits to it will get removed if the file is opened in a newer version of Excel. Learn more: https://go.microsoft.com/fwlink/?linkid=870924
Comment:
    @Larissa Marcela dos Santos                 ID pronto: 2390P001184</t>
      </text>
    </comment>
    <comment ref="E100" authorId="3" shapeId="0" xr:uid="{4762FC42-E96A-4ADC-B6EF-4CAFE99AC604}">
      <text>
        <t>[Threaded comment]
Your version of Excel allows you to read this threaded comment; however, any edits to it will get removed if the file is opened in a newer version of Excel. Learn more: https://go.microsoft.com/fwlink/?linkid=870924
Comment:
    @Larissa Marcela dos Santos                 ID pronto: 2390P007059</t>
      </text>
    </comment>
    <comment ref="E101" authorId="4" shapeId="0" xr:uid="{D1F67EF4-DD06-4A82-BB23-804AD1267256}">
      <text>
        <t>[Threaded comment]
Your version of Excel allows you to read this threaded comment; however, any edits to it will get removed if the file is opened in a newer version of Excel. Learn more: https://go.microsoft.com/fwlink/?linkid=870924
Comment:
    @Larissa Marcela dos Santos                 ID pronto: 2390P004467
ID libras: 2390P006881
ID AD: 2390P006882</t>
      </text>
    </comment>
    <comment ref="E102" authorId="5" shapeId="0" xr:uid="{7A41716F-AD87-4EE3-817C-9AB32AFBC63A}">
      <text>
        <t>[Threaded comment]
Your version of Excel allows you to read this threaded comment; however, any edits to it will get removed if the file is opened in a newer version of Excel. Learn more: https://go.microsoft.com/fwlink/?linkid=870924
Comment:
    @Larissa Marcela dos Santos                 ID pronto: 2390P009265</t>
      </text>
    </comment>
    <comment ref="E103" authorId="6" shapeId="0" xr:uid="{3DCFBC07-930E-453C-B55B-79EFA8B3FCF8}">
      <text>
        <t>[Threaded comment]
Your version of Excel allows you to read this threaded comment; however, any edits to it will get removed if the file is opened in a newer version of Excel. Learn more: https://go.microsoft.com/fwlink/?linkid=870924
Comment:
    @Larissa Marcela dos Santos                 ID pronto: 2390P007060</t>
      </text>
    </comment>
    <comment ref="E104" authorId="7" shapeId="0" xr:uid="{0B10F6B0-3C60-427D-878A-075F10727DF1}">
      <text>
        <t>[Threaded comment]
Your version of Excel allows you to read this threaded comment; however, any edits to it will get removed if the file is opened in a newer version of Excel. Learn more: https://go.microsoft.com/fwlink/?linkid=870924
Comment:
    @Larissa Marcela dos Santos                 ID pronto: 2390P004653
ID libras: 2390P005425
ID AD: 2390P004853</t>
      </text>
    </comment>
    <comment ref="E105" authorId="8" shapeId="0" xr:uid="{E32A0A48-3346-4356-8D8B-BDE5F049CB94}">
      <text>
        <t>[Threaded comment]
Your version of Excel allows you to read this threaded comment; however, any edits to it will get removed if the file is opened in a newer version of Excel. Learn more: https://go.microsoft.com/fwlink/?linkid=870924
Comment:
    @Larissa Marcela dos Santos 
mesmos IDs da linha 79</t>
      </text>
    </comment>
    <comment ref="E106" authorId="9" shapeId="0" xr:uid="{65681E47-4D14-47AD-A118-9ED9DBCD68A4}">
      <text>
        <t>[Threaded comment]
Your version of Excel allows you to read this threaded comment; however, any edits to it will get removed if the file is opened in a newer version of Excel. Learn more: https://go.microsoft.com/fwlink/?linkid=870924
Comment:
    @Larissa Marcela dos Santos                 ID pronto: 2390P004417
ID libras: 2390P005423
ID AD: 2390P004850</t>
      </text>
    </comment>
    <comment ref="E107" authorId="10" shapeId="0" xr:uid="{99EC424C-2B7F-46C8-B212-87E4D8C14400}">
      <text>
        <t>[Threaded comment]
Your version of Excel allows you to read this threaded comment; however, any edits to it will get removed if the file is opened in a newer version of Excel. Learn more: https://go.microsoft.com/fwlink/?linkid=870924
Comment:
    @Larissa Marcela dos Santos 
mesmo ID da linha 80</t>
      </text>
    </comment>
    <comment ref="E108" authorId="11" shapeId="0" xr:uid="{4558119C-4DEF-45D3-B2CE-300B2ADFE59A}">
      <text>
        <t>[Threaded comment]
Your version of Excel allows you to read this threaded comment; however, any edits to it will get removed if the file is opened in a newer version of Excel. Learn more: https://go.microsoft.com/fwlink/?linkid=870924
Comment:
    @Larissa Marcela dos Santos                 ID pronto: 2390P004652
ID libras: 2390P005424
ID AD: 2390P004852</t>
      </text>
    </comment>
    <comment ref="E109" authorId="12" shapeId="0" xr:uid="{C4103E45-1698-4089-BD04-E9EA5F28313A}">
      <text>
        <t>[Threaded comment]
Your version of Excel allows you to read this threaded comment; however, any edits to it will get removed if the file is opened in a newer version of Excel. Learn more: https://go.microsoft.com/fwlink/?linkid=870924
Comment:
    @Larissa Marcela dos Santos 
mesmos IDs da linha 86</t>
      </text>
    </comment>
    <comment ref="E110" authorId="13" shapeId="0" xr:uid="{C0FAF353-BEA1-401D-B082-8DD26F4EDAA8}">
      <text>
        <t>[Threaded comment]
Your version of Excel allows you to read this threaded comment; however, any edits to it will get removed if the file is opened in a newer version of Excel. Learn more: https://go.microsoft.com/fwlink/?linkid=870924
Comment:
    @Larissa Marcela dos Santos                 ID pronto: 2390P006731</t>
      </text>
    </comment>
    <comment ref="E111" authorId="14" shapeId="0" xr:uid="{B6E71435-B8A1-4ABB-92F3-D2339981417E}">
      <text>
        <t>[Threaded comment]
Your version of Excel allows you to read this threaded comment; however, any edits to it will get removed if the file is opened in a newer version of Excel. Learn more: https://go.microsoft.com/fwlink/?linkid=870924
Comment:
    @Larissa Marcela dos Santos                 ID pronto: 2390P006732</t>
      </text>
    </comment>
    <comment ref="G259" authorId="15" shapeId="0" xr:uid="{2BACE2B1-111A-42C3-91AB-9FC6DFA24308}">
      <text>
        <t xml:space="preserve">[Threaded comment]
Your version of Excel allows you to read this threaded comment; however, any edits to it will get removed if the file is opened in a newer version of Excel. Learn more: https://go.microsoft.com/fwlink/?linkid=870924
Comment:
    @Paula de Lima Suzart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tc={4F7F6FAA-4DA9-43CA-911B-617913639107}</author>
    <author>tc={EB787927-D529-4A42-A768-203FC574FD8D}</author>
    <author>tc={EF230A74-FD14-4674-A31C-0E0ED2B1BB31}</author>
    <author>tc={701BACDC-48F5-45AB-A805-0DCDE7C52C7E}</author>
  </authors>
  <commentList>
    <comment ref="G2" authorId="0" shapeId="0" xr:uid="{4F7F6FAA-4DA9-43CA-911B-617913639107}">
      <text>
        <t>[Threaded comment]
Your version of Excel allows you to read this threaded comment; however, any edits to it will get removed if the file is opened in a newer version of Excel. Learn more: https://go.microsoft.com/fwlink/?linkid=870924
Comment:
    Link antigo: https://youtu.be/-lH80Ox46Sk</t>
      </text>
    </comment>
    <comment ref="K2" authorId="1" shapeId="0" xr:uid="{EB787927-D529-4A42-A768-203FC574FD8D}">
      <text>
        <t>[Threaded comment]
Your version of Excel allows you to read this threaded comment; however, any edits to it will get removed if the file is opened in a newer version of Excel. Learn more: https://go.microsoft.com/fwlink/?linkid=870924
Comment:
    Id antigo: 2390P015435
Reply:
    Id antigo: 2390P015448</t>
      </text>
    </comment>
    <comment ref="G7" authorId="2" shapeId="0" xr:uid="{EF230A74-FD14-4674-A31C-0E0ED2B1BB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Link antigo: https://youtu.be/SSTaJdLNTRY 
Reply:
    @Wesley de Souza Lima este link precisou ser trocado</t>
      </text>
    </comment>
    <comment ref="K9" authorId="3" shapeId="0" xr:uid="{701BACDC-48F5-45AB-A805-0DCDE7C52C7E}">
      <text>
        <t>[Threaded comment]
Your version of Excel allows you to read this threaded comment; however, any edits to it will get removed if the file is opened in a newer version of Excel. Learn more: https://go.microsoft.com/fwlink/?linkid=870924
Comment:
    2390E006222</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tc={80D4FD1B-2DBA-4078-B519-6BED455CE7CB}</author>
    <author>tc={CE6FE14B-9169-46B8-9661-A39D4433A141}</author>
    <author>tc={2AC35994-1D64-4763-BB33-D69FFC8878B8}</author>
    <author>tc={0435728C-4B2E-4236-A432-270A2740033C}</author>
    <author>tc={1C71451D-9A61-4231-B49E-BAA5E411AD02}</author>
    <author>tc={21AB796A-3A7B-409E-A733-789D2BE01434}</author>
    <author>tc={671FDBBE-EECF-4FC5-9AA3-7A67A160AFDA}</author>
    <author>tc={8684FA80-2F45-4574-A7C7-D6A825E6AD68}</author>
    <author>tc={8CFCE684-6526-4399-BBB5-23EF98D171E6}</author>
    <author>tc={25FA91F9-C1A1-41E2-A9A3-00C99725C0F8}</author>
    <author>tc={7ACEE498-395B-4DB3-9907-9F565534E4A6}</author>
    <author>tc={7862821B-008A-4CF9-BF03-576382B32761}</author>
    <author>tc={088EB960-BD04-4C79-8AB0-4769CE23D63B}</author>
    <author>tc={FAD17F16-D04A-4ECD-8E2F-F061344652E8}</author>
    <author>tc={2E5C2430-C372-4B93-9D0F-4E27759DB2B0}</author>
    <author>tc={7C434BFF-5DD2-48F3-AD5C-D31BE147B948}</author>
    <author>tc={04C59B59-FDD9-4A55-8AA6-DF76698ED36A}</author>
    <author>tc={27AA67A5-771F-4D29-96ED-E88D64A9518B}</author>
    <author>tc={A37EA747-ADA2-413E-B076-777470D01C2D}</author>
    <author>tc={EF6C5DBE-2CCB-4B50-92F2-C77D7C563BD9}</author>
    <author>tc={043F941C-72C7-4C98-AC4D-645B446586D0}</author>
    <author>tc={0C637D18-8EBA-40CA-BD43-43E7898CC086}</author>
    <author>tc={0B53590E-9819-4696-A288-40A7FE9B44EF}</author>
    <author>tc={F3F5B9DD-4705-4D8A-A615-AE66161A9B70}</author>
    <author>tc={B05A7426-4912-4F74-B121-16CDBBAB381F}</author>
    <author>tc={4C5DFDEE-3C6F-4000-81D3-03F9F416013A}</author>
    <author>tc={01C3A0B1-1ACA-4331-8F4E-AEB358152DBF}</author>
    <author>tc={8437E3F6-B90E-47BB-9B1F-3451004F5432}</author>
    <author>tc={FFBDD697-46BB-4EDC-8AB3-C9EB3208A625}</author>
    <author>tc={6F5F7F86-EC0B-4920-A990-E3305F40B408}</author>
    <author>tc={F58326E6-2C47-4309-890E-3220A509586E}</author>
    <author>tc={2F258AAA-BEA1-412C-91FE-BF108E6F2947}</author>
    <author>tc={B5DB19DA-5667-4399-A33A-C4C71883767B}</author>
    <author>tc={AF8354BE-A3A3-4830-BE41-37628C0C2EAD}</author>
    <author>tc={938E98A1-29A9-4891-9A35-A8A23B57CEC6}</author>
    <author>tc={E2AA615B-83DD-42DD-9393-38B51EA9AEDA}</author>
    <author>tc={D50E9B2A-5743-4824-87D1-F5FB052E1821}</author>
    <author>tc={29ED00DC-7DFE-472A-951F-63CF1A7B7938}</author>
    <author>tc={A2CE5364-663F-4A19-81BA-96D8D00E247F}</author>
    <author>tc={7B75CF1A-8EC8-4A5E-A491-D6542687F192}</author>
    <author>tc={EA65C74A-DD18-4B0D-8042-14E2C07AC2F2}</author>
    <author>tc={4E1DE614-DC0C-4F22-965B-5649E665C32F}</author>
    <author>tc={ACEBA7C4-5626-4201-B898-D1FA95921082}</author>
    <author>tc={AC26BB07-31ED-4A1F-AB7B-BE2E86F4DA5E}</author>
  </authors>
  <commentList>
    <comment ref="J2" authorId="0" shapeId="0" xr:uid="{80D4FD1B-2DBA-4078-B519-6BED455CE7CB}">
      <text>
        <t>[Threaded comment]
Your version of Excel allows you to read this threaded comment; however, any edits to it will get removed if the file is opened in a newer version of Excel. Learn more: https://go.microsoft.com/fwlink/?linkid=870924
Comment:
    ID antigo: 3164P000002
Reply:
    Id antigo: 3164P000091</t>
      </text>
    </comment>
    <comment ref="K2" authorId="1" shapeId="0" xr:uid="{CE6FE14B-9169-46B8-9661-A39D4433A141}">
      <text>
        <t>[Threaded comment]
Your version of Excel allows you to read this threaded comment; however, any edits to it will get removed if the file is opened in a newer version of Excel. Learn more: https://go.microsoft.com/fwlink/?linkid=870924
Comment:
    Link antigo: https://youtu.be/dGltHCJ4wv8</t>
      </text>
    </comment>
    <comment ref="K3" authorId="2" shapeId="0" xr:uid="{2AC35994-1D64-4763-BB33-D69FFC8878B8}">
      <text>
        <t>[Threaded comment]
Your version of Excel allows you to read this threaded comment; however, any edits to it will get removed if the file is opened in a newer version of Excel. Learn more: https://go.microsoft.com/fwlink/?linkid=870924
Comment:
    Link antigo: https://youtu.be/dGltHCJ4wv8</t>
      </text>
    </comment>
    <comment ref="N3" authorId="3" shapeId="0" xr:uid="{0435728C-4B2E-4236-A432-270A2740033C}">
      <text>
        <t>[Threaded comment]
Your version of Excel allows you to read this threaded comment; however, any edits to it will get removed if the file is opened in a newer version of Excel. Learn more: https://go.microsoft.com/fwlink/?linkid=870924
Comment:
    https://youtu.be/5qN2X0HzRJI</t>
      </text>
    </comment>
    <comment ref="J4" authorId="4" shapeId="0" xr:uid="{1C71451D-9A61-4231-B49E-BAA5E411AD02}">
      <text>
        <t>[Threaded comment]
Your version of Excel allows you to read this threaded comment; however, any edits to it will get removed if the file is opened in a newer version of Excel. Learn more: https://go.microsoft.com/fwlink/?linkid=870924
Comment:
    ID antigo: 3164P000006</t>
      </text>
    </comment>
    <comment ref="K4" authorId="5" shapeId="0" xr:uid="{21AB796A-3A7B-409E-A733-789D2BE01434}">
      <text>
        <t>[Threaded comment]
Your version of Excel allows you to read this threaded comment; however, any edits to it will get removed if the file is opened in a newer version of Excel. Learn more: https://go.microsoft.com/fwlink/?linkid=870924
Comment:
    Link antigo: https://youtu.be/ql7KEEhAjnI</t>
      </text>
    </comment>
    <comment ref="J5" authorId="6" shapeId="0" xr:uid="{671FDBBE-EECF-4FC5-9AA3-7A67A160AFDA}">
      <text>
        <t>[Threaded comment]
Your version of Excel allows you to read this threaded comment; however, any edits to it will get removed if the file is opened in a newer version of Excel. Learn more: https://go.microsoft.com/fwlink/?linkid=870924
Comment:
    ID antigo: 3164P000008</t>
      </text>
    </comment>
    <comment ref="J6" authorId="7" shapeId="0" xr:uid="{8684FA80-2F45-4574-A7C7-D6A825E6AD68}">
      <text>
        <t>[Threaded comment]
Your version of Excel allows you to read this threaded comment; however, any edits to it will get removed if the file is opened in a newer version of Excel. Learn more: https://go.microsoft.com/fwlink/?linkid=870924
Comment:
    ID antigo: 3164P000010</t>
      </text>
    </comment>
    <comment ref="K6" authorId="8" shapeId="0" xr:uid="{8CFCE684-6526-4399-BBB5-23EF98D171E6}">
      <text>
        <t>[Threaded comment]
Your version of Excel allows you to read this threaded comment; however, any edits to it will get removed if the file is opened in a newer version of Excel. Learn more: https://go.microsoft.com/fwlink/?linkid=870924
Comment:
    Link antigo: https://youtu.be/rQwC5G2Y7Bg</t>
      </text>
    </comment>
    <comment ref="J7" authorId="9" shapeId="0" xr:uid="{25FA91F9-C1A1-41E2-A9A3-00C99725C0F8}">
      <text>
        <t>[Threaded comment]
Your version of Excel allows you to read this threaded comment; however, any edits to it will get removed if the file is opened in a newer version of Excel. Learn more: https://go.microsoft.com/fwlink/?linkid=870924
Comment:
    ID antigo: 3164P000012</t>
      </text>
    </comment>
    <comment ref="K7" authorId="10" shapeId="0" xr:uid="{7ACEE498-395B-4DB3-9907-9F565534E4A6}">
      <text>
        <t>[Threaded comment]
Your version of Excel allows you to read this threaded comment; however, any edits to it will get removed if the file is opened in a newer version of Excel. Learn more: https://go.microsoft.com/fwlink/?linkid=870924
Comment:
    Link antigo: https://youtu.be/h8Qyte93YOc</t>
      </text>
    </comment>
    <comment ref="N9" authorId="11" shapeId="0" xr:uid="{7862821B-008A-4CF9-BF03-576382B32761}">
      <text>
        <t>[Threaded comment]
Your version of Excel allows you to read this threaded comment; however, any edits to it will get removed if the file is opened in a newer version of Excel. Learn more: https://go.microsoft.com/fwlink/?linkid=870924
Comment:
    https://youtu.be/7EvY87WOLfc</t>
      </text>
    </comment>
    <comment ref="K10" authorId="12" shapeId="0" xr:uid="{088EB960-BD04-4C79-8AB0-4769CE23D63B}">
      <text>
        <t>[Threaded comment]
Your version of Excel allows you to read this threaded comment; however, any edits to it will get removed if the file is opened in a newer version of Excel. Learn more: https://go.microsoft.com/fwlink/?linkid=870924
Comment:
    Link antigo: https://youtu.be/JEs820eGySg</t>
      </text>
    </comment>
    <comment ref="N10" authorId="13" shapeId="0" xr:uid="{FAD17F16-D04A-4ECD-8E2F-F061344652E8}">
      <text>
        <t>[Threaded comment]
Your version of Excel allows you to read this threaded comment; however, any edits to it will get removed if the file is opened in a newer version of Excel. Learn more: https://go.microsoft.com/fwlink/?linkid=870924
Comment:
    https://youtu.be/7EvY87WOLfc</t>
      </text>
    </comment>
    <comment ref="J11" authorId="14" shapeId="0" xr:uid="{2E5C2430-C372-4B93-9D0F-4E27759DB2B0}">
      <text>
        <t>[Threaded comment]
Your version of Excel allows you to read this threaded comment; however, any edits to it will get removed if the file is opened in a newer version of Excel. Learn more: https://go.microsoft.com/fwlink/?linkid=870924
Comment:
    Id pronto já com LIBRAS.</t>
      </text>
    </comment>
    <comment ref="K12" authorId="15" shapeId="0" xr:uid="{7C434BFF-5DD2-48F3-AD5C-D31BE147B948}">
      <text>
        <t>[Threaded comment]
Your version of Excel allows you to read this threaded comment; however, any edits to it will get removed if the file is opened in a newer version of Excel. Learn more: https://go.microsoft.com/fwlink/?linkid=870924
Comment:
    Link antigo: https://youtu.be/ZmchvfBc3nE</t>
      </text>
    </comment>
    <comment ref="N12" authorId="16" shapeId="0" xr:uid="{04C59B59-FDD9-4A55-8AA6-DF76698ED36A}">
      <text>
        <t>[Threaded comment]
Your version of Excel allows you to read this threaded comment; however, any edits to it will get removed if the file is opened in a newer version of Excel. Learn more: https://go.microsoft.com/fwlink/?linkid=870924
Comment:
    https://youtu.be/7EvY87WOLfc</t>
      </text>
    </comment>
    <comment ref="K13" authorId="17" shapeId="0" xr:uid="{27AA67A5-771F-4D29-96ED-E88D64A9518B}">
      <text>
        <t>[Threaded comment]
Your version of Excel allows you to read this threaded comment; however, any edits to it will get removed if the file is opened in a newer version of Excel. Learn more: https://go.microsoft.com/fwlink/?linkid=870924
Comment:
    Link antigo: https://youtu.be/u3sntETrLQw</t>
      </text>
    </comment>
    <comment ref="N13" authorId="18" shapeId="0" xr:uid="{A37EA747-ADA2-413E-B076-777470D01C2D}">
      <text>
        <t>[Threaded comment]
Your version of Excel allows you to read this threaded comment; however, any edits to it will get removed if the file is opened in a newer version of Excel. Learn more: https://go.microsoft.com/fwlink/?linkid=870924
Comment:
    https://youtu.be/mYdS4GXqASY</t>
      </text>
    </comment>
    <comment ref="K15" authorId="19" shapeId="0" xr:uid="{EF6C5DBE-2CCB-4B50-92F2-C77D7C563BD9}">
      <text>
        <t>[Threaded comment]
Your version of Excel allows you to read this threaded comment; however, any edits to it will get removed if the file is opened in a newer version of Excel. Learn more: https://go.microsoft.com/fwlink/?linkid=870924
Comment:
    Link antigo: https://youtu.be/l3hq8xqkFr0</t>
      </text>
    </comment>
    <comment ref="N15" authorId="20" shapeId="0" xr:uid="{043F941C-72C7-4C98-AC4D-645B446586D0}">
      <text>
        <t>[Threaded comment]
Your version of Excel allows you to read this threaded comment; however, any edits to it will get removed if the file is opened in a newer version of Excel. Learn more: https://go.microsoft.com/fwlink/?linkid=870924
Comment:
    https://youtu.be/7EvY87WOLfc</t>
      </text>
    </comment>
    <comment ref="K17" authorId="21" shapeId="0" xr:uid="{0C637D18-8EBA-40CA-BD43-43E7898CC086}">
      <text>
        <t>[Threaded comment]
Your version of Excel allows you to read this threaded comment; however, any edits to it will get removed if the file is opened in a newer version of Excel. Learn more: https://go.microsoft.com/fwlink/?linkid=870924
Comment:
    Link antigo: https://youtu.be/hBYbnCA6tyE</t>
      </text>
    </comment>
    <comment ref="N17" authorId="22" shapeId="0" xr:uid="{0B53590E-9819-4696-A288-40A7FE9B44EF}">
      <text>
        <t>[Threaded comment]
Your version of Excel allows you to read this threaded comment; however, any edits to it will get removed if the file is opened in a newer version of Excel. Learn more: https://go.microsoft.com/fwlink/?linkid=870924
Comment:
    https://youtu.be/7EvY87WOLfc</t>
      </text>
    </comment>
    <comment ref="K18" authorId="23" shapeId="0" xr:uid="{F3F5B9DD-4705-4D8A-A615-AE66161A9B70}">
      <text>
        <t>[Threaded comment]
Your version of Excel allows you to read this threaded comment; however, any edits to it will get removed if the file is opened in a newer version of Excel. Learn more: https://go.microsoft.com/fwlink/?linkid=870924
Comment:
    Link antigo: https://youtu.be/podLZBf5mSg
Reply:
    https://youtu.be/FW9hsIuz06c</t>
      </text>
    </comment>
    <comment ref="N18" authorId="24" shapeId="0" xr:uid="{B05A7426-4912-4F74-B121-16CDBBAB381F}">
      <text>
        <t>[Threaded comment]
Your version of Excel allows you to read this threaded comment; however, any edits to it will get removed if the file is opened in a newer version of Excel. Learn more: https://go.microsoft.com/fwlink/?linkid=870924
Comment:
    https://youtu.be/GDjMGs39PHc</t>
      </text>
    </comment>
    <comment ref="K19" authorId="25" shapeId="0" xr:uid="{4C5DFDEE-3C6F-4000-81D3-03F9F416013A}">
      <text>
        <t>[Threaded comment]
Your version of Excel allows you to read this threaded comment; however, any edits to it will get removed if the file is opened in a newer version of Excel. Learn more: https://go.microsoft.com/fwlink/?linkid=870924
Comment:
    Link antigo: https://youtu.be/6DZjPnT64tw</t>
      </text>
    </comment>
    <comment ref="K21" authorId="26" shapeId="0" xr:uid="{01C3A0B1-1ACA-4331-8F4E-AEB358152DBF}">
      <text>
        <t>[Threaded comment]
Your version of Excel allows you to read this threaded comment; however, any edits to it will get removed if the file is opened in a newer version of Excel. Learn more: https://go.microsoft.com/fwlink/?linkid=870924
Comment:
    https://youtu.be/EuDpncNdV-4</t>
      </text>
    </comment>
    <comment ref="N21" authorId="27" shapeId="0" xr:uid="{8437E3F6-B90E-47BB-9B1F-3451004F5432}">
      <text>
        <t>[Threaded comment]
Your version of Excel allows you to read this threaded comment; however, any edits to it will get removed if the file is opened in a newer version of Excel. Learn more: https://go.microsoft.com/fwlink/?linkid=870924
Comment:
    https://youtu.be/oMexK7dPEIc</t>
      </text>
    </comment>
    <comment ref="K22" authorId="28" shapeId="0" xr:uid="{FFBDD697-46BB-4EDC-8AB3-C9EB3208A625}">
      <text>
        <t>[Threaded comment]
Your version of Excel allows you to read this threaded comment; however, any edits to it will get removed if the file is opened in a newer version of Excel. Learn more: https://go.microsoft.com/fwlink/?linkid=870924
Comment:
    https://youtu.be/q7tZIrESnjQ</t>
      </text>
    </comment>
    <comment ref="N22" authorId="29" shapeId="0" xr:uid="{6F5F7F86-EC0B-4920-A990-E3305F40B408}">
      <text>
        <t>[Threaded comment]
Your version of Excel allows you to read this threaded comment; however, any edits to it will get removed if the file is opened in a newer version of Excel. Learn more: https://go.microsoft.com/fwlink/?linkid=870924
Comment:
    https://youtu.be/5TpyQkMmwjM</t>
      </text>
    </comment>
    <comment ref="K23" authorId="30" shapeId="0" xr:uid="{F58326E6-2C47-4309-890E-3220A509586E}">
      <text>
        <t>[Threaded comment]
Your version of Excel allows you to read this threaded comment; however, any edits to it will get removed if the file is opened in a newer version of Excel. Learn more: https://go.microsoft.com/fwlink/?linkid=870924
Comment:
    https://youtu.be/n_SEMNtSh6s</t>
      </text>
    </comment>
    <comment ref="N23" authorId="31" shapeId="0" xr:uid="{2F258AAA-BEA1-412C-91FE-BF108E6F2947}">
      <text>
        <t>[Threaded comment]
Your version of Excel allows you to read this threaded comment; however, any edits to it will get removed if the file is opened in a newer version of Excel. Learn more: https://go.microsoft.com/fwlink/?linkid=870924
Comment:
    https://youtu.be/y1t8WvJbx7s</t>
      </text>
    </comment>
    <comment ref="N24" authorId="32" shapeId="0" xr:uid="{B5DB19DA-5667-4399-A33A-C4C71883767B}">
      <text>
        <t>[Threaded comment]
Your version of Excel allows you to read this threaded comment; however, any edits to it will get removed if the file is opened in a newer version of Excel. Learn more: https://go.microsoft.com/fwlink/?linkid=870924
Comment:
    https://youtu.be/dPc_zy8dWQA</t>
      </text>
    </comment>
    <comment ref="K25" authorId="33" shapeId="0" xr:uid="{AF8354BE-A3A3-4830-BE41-37628C0C2EAD}">
      <text>
        <t>[Threaded comment]
Your version of Excel allows you to read this threaded comment; however, any edits to it will get removed if the file is opened in a newer version of Excel. Learn more: https://go.microsoft.com/fwlink/?linkid=870924
Comment:
    https://youtu.be/GWJAhA_UCmQ</t>
      </text>
    </comment>
    <comment ref="N25" authorId="34" shapeId="0" xr:uid="{938E98A1-29A9-4891-9A35-A8A23B57CEC6}">
      <text>
        <t>[Threaded comment]
Your version of Excel allows you to read this threaded comment; however, any edits to it will get removed if the file is opened in a newer version of Excel. Learn more: https://go.microsoft.com/fwlink/?linkid=870924
Comment:
    https://youtu.be/HFpxUbI2Nbs</t>
      </text>
    </comment>
    <comment ref="K26" authorId="35" shapeId="0" xr:uid="{E2AA615B-83DD-42DD-9393-38B51EA9AEDA}">
      <text>
        <t>[Threaded comment]
Your version of Excel allows you to read this threaded comment; however, any edits to it will get removed if the file is opened in a newer version of Excel. Learn more: https://go.microsoft.com/fwlink/?linkid=870924
Comment:
    https://youtu.be/KpwsToIpUII</t>
      </text>
    </comment>
    <comment ref="N26" authorId="36" shapeId="0" xr:uid="{D50E9B2A-5743-4824-87D1-F5FB052E1821}">
      <text>
        <t>[Threaded comment]
Your version of Excel allows you to read this threaded comment; however, any edits to it will get removed if the file is opened in a newer version of Excel. Learn more: https://go.microsoft.com/fwlink/?linkid=870924
Comment:
    https://youtu.be/jrwAJEycyBQ</t>
      </text>
    </comment>
    <comment ref="K27" authorId="37" shapeId="0" xr:uid="{29ED00DC-7DFE-472A-951F-63CF1A7B7938}">
      <text>
        <t>[Threaded comment]
Your version of Excel allows you to read this threaded comment; however, any edits to it will get removed if the file is opened in a newer version of Excel. Learn more: https://go.microsoft.com/fwlink/?linkid=870924
Comment:
    https://youtu.be/GF1zGX9Y34s</t>
      </text>
    </comment>
    <comment ref="N27" authorId="38" shapeId="0" xr:uid="{A2CE5364-663F-4A19-81BA-96D8D00E247F}">
      <text>
        <t>[Threaded comment]
Your version of Excel allows you to read this threaded comment; however, any edits to it will get removed if the file is opened in a newer version of Excel. Learn more: https://go.microsoft.com/fwlink/?linkid=870924
Comment:
    https://youtu.be/7EvY87WOLfc</t>
      </text>
    </comment>
    <comment ref="K28" authorId="39" shapeId="0" xr:uid="{7B75CF1A-8EC8-4A5E-A491-D6542687F192}">
      <text>
        <t>[Threaded comment]
Your version of Excel allows you to read this threaded comment; however, any edits to it will get removed if the file is opened in a newer version of Excel. Learn more: https://go.microsoft.com/fwlink/?linkid=870924
Comment:
    https://youtu.be/CMt8pI734aQ</t>
      </text>
    </comment>
    <comment ref="N28" authorId="40" shapeId="0" xr:uid="{EA65C74A-DD18-4B0D-8042-14E2C07AC2F2}">
      <text>
        <t>[Threaded comment]
Your version of Excel allows you to read this threaded comment; however, any edits to it will get removed if the file is opened in a newer version of Excel. Learn more: https://go.microsoft.com/fwlink/?linkid=870924
Comment:
    https://youtu.be/fIbQ61rWTtw</t>
      </text>
    </comment>
    <comment ref="N30" authorId="41" shapeId="0" xr:uid="{4E1DE614-DC0C-4F22-965B-5649E665C32F}">
      <text>
        <t xml:space="preserve">[Threaded comment]
Your version of Excel allows you to read this threaded comment; however, any edits to it will get removed if the file is opened in a newer version of Excel. Learn more: https://go.microsoft.com/fwlink/?linkid=870924
Comment:
    antigo: https://youtu.be/naLrE-wnvc0
</t>
      </text>
    </comment>
    <comment ref="K32" authorId="42" shapeId="0" xr:uid="{ACEBA7C4-5626-4201-B898-D1FA95921082}">
      <text>
        <t>[Threaded comment]
Your version of Excel allows you to read this threaded comment; however, any edits to it will get removed if the file is opened in a newer version of Excel. Learn more: https://go.microsoft.com/fwlink/?linkid=870924
Comment:
    https://youtu.be/a7hEV3vIuBw</t>
      </text>
    </comment>
    <comment ref="N32" authorId="43" shapeId="0" xr:uid="{AC26BB07-31ED-4A1F-AB7B-BE2E86F4DA5E}">
      <text>
        <t>[Threaded comment]
Your version of Excel allows you to read this threaded comment; however, any edits to it will get removed if the file is opened in a newer version of Excel. Learn more: https://go.microsoft.com/fwlink/?linkid=870924
Comment:
    https://youtu.be/o1areyqNNJU</t>
      </text>
    </comment>
  </commentList>
</comments>
</file>

<file path=xl/sharedStrings.xml><?xml version="1.0" encoding="utf-8"?>
<sst xmlns="http://schemas.openxmlformats.org/spreadsheetml/2006/main" count="7854" uniqueCount="3828">
  <si>
    <t>Código</t>
  </si>
  <si>
    <t>Disciplina</t>
  </si>
  <si>
    <t>Conteudista</t>
  </si>
  <si>
    <t>DI</t>
  </si>
  <si>
    <t>Número de semanas</t>
  </si>
  <si>
    <t>Videoaulas</t>
  </si>
  <si>
    <t>Bim</t>
  </si>
  <si>
    <t>PJI610</t>
  </si>
  <si>
    <t>Projeto Integrador em Computação VI</t>
  </si>
  <si>
    <t>Marcelo Garcia Manzato</t>
  </si>
  <si>
    <t>Alfredo</t>
  </si>
  <si>
    <t>(1-7)</t>
  </si>
  <si>
    <t>2024.1</t>
  </si>
  <si>
    <t>PJI420</t>
  </si>
  <si>
    <t>Projeto Integrador I - Negócios e Produção</t>
  </si>
  <si>
    <t>Antonio Francisco Savi</t>
  </si>
  <si>
    <t>ADM310</t>
  </si>
  <si>
    <t>Estratégia e Governança</t>
  </si>
  <si>
    <t>Bruna Liria Avelhan</t>
  </si>
  <si>
    <t>Fábio</t>
  </si>
  <si>
    <t>(11-21)</t>
  </si>
  <si>
    <t>DIR300</t>
  </si>
  <si>
    <t>Noções básicas de direito público e privado</t>
  </si>
  <si>
    <t>Luciana Lopes Canavez</t>
  </si>
  <si>
    <t>Juliana</t>
  </si>
  <si>
    <t>COM311</t>
  </si>
  <si>
    <t>Desenho Técnico Assistido por Computador </t>
  </si>
  <si>
    <t>Daniel</t>
  </si>
  <si>
    <t>SDD001</t>
  </si>
  <si>
    <t>Didática</t>
  </si>
  <si>
    <t>Simone Telles</t>
  </si>
  <si>
    <t>Claudia</t>
  </si>
  <si>
    <t>SFH001</t>
  </si>
  <si>
    <t xml:space="preserve">Fundamentos Históricos, Filosóficos e Sociológicos da Educação </t>
  </si>
  <si>
    <t>Eli Vagner Francisco Rodrigues</t>
  </si>
  <si>
    <t>Ieda</t>
  </si>
  <si>
    <t>COM590</t>
  </si>
  <si>
    <t>Compiladores</t>
  </si>
  <si>
    <t>Júlio Cezar Estrella</t>
  </si>
  <si>
    <t>2024.2</t>
  </si>
  <si>
    <t>ADM330</t>
  </si>
  <si>
    <t>Conceitos e práticas de marketing</t>
  </si>
  <si>
    <t>Renato da Costa dos Santos</t>
  </si>
  <si>
    <t>Fábia</t>
  </si>
  <si>
    <t>ADM320</t>
  </si>
  <si>
    <t>Gestão da Produção e Operações</t>
  </si>
  <si>
    <t>Mirtes</t>
  </si>
  <si>
    <t xml:space="preserve">(11-21) </t>
  </si>
  <si>
    <t>PES320</t>
  </si>
  <si>
    <t>Controle Estatístico e Gestão da Qualidade</t>
  </si>
  <si>
    <t>Marco Aurélio Soares De Castro</t>
  </si>
  <si>
    <t>Rafael</t>
  </si>
  <si>
    <t>SAA001</t>
  </si>
  <si>
    <t xml:space="preserve">Avaliação Educacional e da Aprendizagem </t>
  </si>
  <si>
    <t>Eric Ferdinando Kanai Passone</t>
  </si>
  <si>
    <t>Renata</t>
  </si>
  <si>
    <t>SPS001</t>
  </si>
  <si>
    <t>Psicologia da Educação</t>
  </si>
  <si>
    <t>Margarete May Berkenbrock Rosito</t>
  </si>
  <si>
    <t>ADM400</t>
  </si>
  <si>
    <t>Cidades Inteligentes</t>
  </si>
  <si>
    <t>2024.3</t>
  </si>
  <si>
    <t>SCN001</t>
  </si>
  <si>
    <t>Fundamentos e práticas no ensino de Ciências da Natureza</t>
  </si>
  <si>
    <t>Juliana Hanna Leite El Ottra</t>
  </si>
  <si>
    <t>Vanessa</t>
  </si>
  <si>
    <t>PJI500</t>
  </si>
  <si>
    <t>Projeto Integrador II - Negócios e Produção</t>
  </si>
  <si>
    <t>ADM350</t>
  </si>
  <si>
    <t>Aprendizagem e gestão do conhecimento</t>
  </si>
  <si>
    <t>Cíntia Cristina Silva de Araújo</t>
  </si>
  <si>
    <t>ADM340</t>
  </si>
  <si>
    <t>Estratégias Financeiras</t>
  </si>
  <si>
    <t xml:space="preserve">Roberto Alexandre Zanchetta Borghi </t>
  </si>
  <si>
    <t>ADM380</t>
  </si>
  <si>
    <t>Gestão de Projetos</t>
  </si>
  <si>
    <t>Nádia</t>
  </si>
  <si>
    <t>EPR300</t>
  </si>
  <si>
    <t>Pesquisa Operacional I</t>
  </si>
  <si>
    <t>Elias Salomão Helou Neto</t>
  </si>
  <si>
    <t>LET140</t>
  </si>
  <si>
    <t>Teoria da Literatura</t>
  </si>
  <si>
    <t>Carlos Augusto Bonifácio Leite</t>
  </si>
  <si>
    <t>autoinstrucional</t>
  </si>
  <si>
    <t>SHE001</t>
  </si>
  <si>
    <t>História da Educação</t>
  </si>
  <si>
    <t>Renata Marcílio Cândido</t>
  </si>
  <si>
    <t>PJI120</t>
  </si>
  <si>
    <t>Projeto Integrador - Adaptação curricular</t>
  </si>
  <si>
    <t>Mônica</t>
  </si>
  <si>
    <t>MAT300</t>
  </si>
  <si>
    <t>Fundamentos da Matemática Elementar</t>
  </si>
  <si>
    <t>COM100</t>
  </si>
  <si>
    <t>Pensamento Computacional</t>
  </si>
  <si>
    <t>Marcos Borges</t>
  </si>
  <si>
    <t>ADM300</t>
  </si>
  <si>
    <t>Legislação e Responsabilidade Profissional</t>
  </si>
  <si>
    <t>Juliana Novi</t>
  </si>
  <si>
    <t>2024.4</t>
  </si>
  <si>
    <t>SEJ001</t>
  </si>
  <si>
    <t>Educação de Jovens e Adultos</t>
  </si>
  <si>
    <t>Adriana Batista de Souza Koide</t>
  </si>
  <si>
    <t>CIN300</t>
  </si>
  <si>
    <t>Gestão de Sistemas de Informação</t>
  </si>
  <si>
    <t>ADM370</t>
  </si>
  <si>
    <t>Marketing Digital</t>
  </si>
  <si>
    <t>Marina Toledo Lourenção Rocha</t>
  </si>
  <si>
    <t>EPR310</t>
  </si>
  <si>
    <t>Pesquisa Operacional II</t>
  </si>
  <si>
    <t>Anibal Tavares De Azevedo</t>
  </si>
  <si>
    <t>ADM360</t>
  </si>
  <si>
    <t>Análise e modelagem de processos</t>
  </si>
  <si>
    <t>Joel</t>
  </si>
  <si>
    <t>HFE001</t>
  </si>
  <si>
    <t>Filosofia da Educação</t>
  </si>
  <si>
    <t>Ronildo Alves Dos Santos</t>
  </si>
  <si>
    <t>HSE001</t>
  </si>
  <si>
    <t>Sociologia da Educação</t>
  </si>
  <si>
    <t>LET340</t>
  </si>
  <si>
    <t xml:space="preserve">Gramática de Língua Portuguesa: morfologia </t>
  </si>
  <si>
    <t>Raquel/Cláudia</t>
  </si>
  <si>
    <t>MAT310</t>
  </si>
  <si>
    <t xml:space="preserve">Geometria Analítica </t>
  </si>
  <si>
    <t>Glauce Barbosa Verao</t>
  </si>
  <si>
    <t>Raquel</t>
  </si>
  <si>
    <t>MMB002</t>
  </si>
  <si>
    <t>Matemática básica</t>
  </si>
  <si>
    <t>Prof.Rúbia Barcelos Amaral</t>
  </si>
  <si>
    <t>2024.2 AC</t>
  </si>
  <si>
    <t>FIS300</t>
  </si>
  <si>
    <t>Física do Movimento (Engenharia de Computação 2020.1)</t>
  </si>
  <si>
    <t>EDU310</t>
  </si>
  <si>
    <t>Letramento em LIBRAS para professores</t>
  </si>
  <si>
    <t>Karina Soledad Maldonado Molina</t>
  </si>
  <si>
    <t>2024.3 AC</t>
  </si>
  <si>
    <t>SFI002</t>
  </si>
  <si>
    <t>Fundamentos da Educação Infantil II</t>
  </si>
  <si>
    <t>Claudia Panizzolo</t>
  </si>
  <si>
    <t>TPL504</t>
  </si>
  <si>
    <t xml:space="preserve">Projeto Integrador para Licenciatura IV </t>
  </si>
  <si>
    <t>Taitiâny Kárita Bonzanini</t>
  </si>
  <si>
    <t>LET320</t>
  </si>
  <si>
    <t>Literatura e Cultura Brasileira</t>
  </si>
  <si>
    <t>Marise Soares Hansen</t>
  </si>
  <si>
    <t>LIN310</t>
  </si>
  <si>
    <t>Aquisição da Linguagem: Oralidade e Escrita</t>
  </si>
  <si>
    <t>Lúcia Regiane Lopes-Damasio</t>
  </si>
  <si>
    <t>COM390</t>
  </si>
  <si>
    <t>Engenharia de Software</t>
  </si>
  <si>
    <t>PJI240</t>
  </si>
  <si>
    <t>Projeto Integrador em Computação II</t>
  </si>
  <si>
    <t>LET110</t>
  </si>
  <si>
    <t>Leitura e Produção de textos</t>
  </si>
  <si>
    <t>Vanessa Martins do Monte</t>
  </si>
  <si>
    <t>SOC100</t>
  </si>
  <si>
    <t>Ética, cidadania e Sociedade</t>
  </si>
  <si>
    <t>EDU320</t>
  </si>
  <si>
    <t>Educação Mediada por Tecnologias</t>
  </si>
  <si>
    <t>Raquel Rosan Christino Gitahy</t>
  </si>
  <si>
    <t>2024.4 AC</t>
  </si>
  <si>
    <t>SMA001</t>
  </si>
  <si>
    <t>Metodologias Ativas de Aprendizagem: Projetos Interdisciplinares</t>
  </si>
  <si>
    <t>Adriana Bauer</t>
  </si>
  <si>
    <t>LET330</t>
  </si>
  <si>
    <t>Gramática de Língua Portuguesa II</t>
  </si>
  <si>
    <t>INT100</t>
  </si>
  <si>
    <t>Projetos e Métodos para a Produção do Conhecimento</t>
  </si>
  <si>
    <t>Darlene Ferreira</t>
  </si>
  <si>
    <t>LET100</t>
  </si>
  <si>
    <t>Inglês</t>
  </si>
  <si>
    <t>Cristina Mayer Acunzo</t>
  </si>
  <si>
    <t>CÓD</t>
  </si>
  <si>
    <t>Semanas</t>
  </si>
  <si>
    <t>Nº de aulas</t>
  </si>
  <si>
    <t>Título da aula</t>
  </si>
  <si>
    <t>Sinopse da Videoaula</t>
  </si>
  <si>
    <t>Link no YouTube</t>
  </si>
  <si>
    <t>Slide na pasta</t>
  </si>
  <si>
    <t>Status</t>
  </si>
  <si>
    <t>Download</t>
  </si>
  <si>
    <t>ID (TV Cultura)</t>
  </si>
  <si>
    <t>Duração</t>
  </si>
  <si>
    <t>Professor</t>
  </si>
  <si>
    <t>Quinzena 1</t>
  </si>
  <si>
    <t>AULA 01</t>
  </si>
  <si>
    <t>Apresentação</t>
  </si>
  <si>
    <t>https://youtu.be/ZNFk0kUyd3w</t>
  </si>
  <si>
    <t>ok</t>
  </si>
  <si>
    <t>finalizado</t>
  </si>
  <si>
    <t>2390P013365</t>
  </si>
  <si>
    <t>AULA 02</t>
  </si>
  <si>
    <t>Plano de Negócios</t>
  </si>
  <si>
    <t>https://youtu.be/8puMOD6z8sc</t>
  </si>
  <si>
    <t>2390P013366</t>
  </si>
  <si>
    <t>Quinzena 3</t>
  </si>
  <si>
    <t>AULA 03</t>
  </si>
  <si>
    <t>Desenvolvimento Mobile</t>
  </si>
  <si>
    <t>https://youtu.be/J7I7vDCjVWM</t>
  </si>
  <si>
    <t>2390P013367</t>
  </si>
  <si>
    <t>AULA 04</t>
  </si>
  <si>
    <t>Processamento digital de sinais</t>
  </si>
  <si>
    <t>https://youtu.be/K9v1J8KY760</t>
  </si>
  <si>
    <t>2390P013368</t>
  </si>
  <si>
    <t>Quinzena 4</t>
  </si>
  <si>
    <t>AULA 05</t>
  </si>
  <si>
    <t>Internet das Coisas</t>
  </si>
  <si>
    <t>https://youtu.be/YRoWxDfcLXU</t>
  </si>
  <si>
    <t>2390P013369</t>
  </si>
  <si>
    <t>AULA 06</t>
  </si>
  <si>
    <t>Sistemas Embarcados</t>
  </si>
  <si>
    <t>https://youtu.be/aKfI06JSc0M</t>
  </si>
  <si>
    <t>2390P013370</t>
  </si>
  <si>
    <t>Quinzena 6</t>
  </si>
  <si>
    <t>AULA 07</t>
  </si>
  <si>
    <t>Interface com usuário</t>
  </si>
  <si>
    <t>https://youtu.be/Ws3QP7nEfeI</t>
  </si>
  <si>
    <t>2390P013371</t>
  </si>
  <si>
    <t>AULA 0</t>
  </si>
  <si>
    <t>https://youtu.be/9hYte8fBE8M</t>
  </si>
  <si>
    <t>2390P013597</t>
  </si>
  <si>
    <t>Resumo geral do Projeto Integrador</t>
  </si>
  <si>
    <t>https://youtu.be/IH6uEr7bLcM</t>
  </si>
  <si>
    <t>2390P013372</t>
  </si>
  <si>
    <t>Quinzena 2</t>
  </si>
  <si>
    <t>Aproximação ao tema, escolha do local e observação in loco</t>
  </si>
  <si>
    <t>https://youtu.be/exBooQA-9_k</t>
  </si>
  <si>
    <t>2390P013373</t>
  </si>
  <si>
    <t>Definição e estudo sobre o tema</t>
  </si>
  <si>
    <t>https://youtu.be/UD4mOD6V0Ys</t>
  </si>
  <si>
    <t>2390P013374</t>
  </si>
  <si>
    <t>Framework de processo e sistematização do projeto</t>
  </si>
  <si>
    <t>https://youtu.be/FvYKUueEtcY</t>
  </si>
  <si>
    <t>2390P013375</t>
  </si>
  <si>
    <t>Quinzena 5</t>
  </si>
  <si>
    <t>Gestão de projetos</t>
  </si>
  <si>
    <t>https://youtu.be/ohcPzmZ5gEI</t>
  </si>
  <si>
    <t>2390P013376</t>
  </si>
  <si>
    <t>Ferramentas e métodos para confecção do protótipo</t>
  </si>
  <si>
    <t>https://youtu.be/c3yJPsBslwY</t>
  </si>
  <si>
    <t>2390P013377</t>
  </si>
  <si>
    <t>Quinzena 7</t>
  </si>
  <si>
    <t>Melhoria da solução</t>
  </si>
  <si>
    <t>https://youtu.be/R6babxG24H8</t>
  </si>
  <si>
    <t>2390P013378</t>
  </si>
  <si>
    <t xml:space="preserve">Estratégia e Governança </t>
  </si>
  <si>
    <t>Semana 1</t>
  </si>
  <si>
    <t>Estratégia empresarial: princípios e enfoques</t>
  </si>
  <si>
    <t>https://youtu.be/L2JM0shM98A</t>
  </si>
  <si>
    <t>OK</t>
  </si>
  <si>
    <t>2390P013484</t>
  </si>
  <si>
    <t>O modelo das 5 forças de Porter aplicado à Tecnologia da Informação</t>
  </si>
  <si>
    <t>https://youtu.be/VPsducNxa2U</t>
  </si>
  <si>
    <t>2390P013485</t>
  </si>
  <si>
    <t>Governança corporativa e governança de TI</t>
  </si>
  <si>
    <t>https://youtu.be/zLkn7c7PZpE</t>
  </si>
  <si>
    <t>2390P013486</t>
  </si>
  <si>
    <t>Semana 2</t>
  </si>
  <si>
    <t>Planejamento estratégico da TI</t>
  </si>
  <si>
    <t>https://youtu.be/I6L_3W8HDq8</t>
  </si>
  <si>
    <t>2390P013487</t>
  </si>
  <si>
    <t>Subsistemas de TI: objetivos e direcionamento</t>
  </si>
  <si>
    <t>https://youtu.be/54Ou0HYm2aw</t>
  </si>
  <si>
    <t>2390P013488</t>
  </si>
  <si>
    <t>Subsistemas de TI: Desenvolvimento e entrega</t>
  </si>
  <si>
    <t>https://youtu.be/pjHVT_frFis</t>
  </si>
  <si>
    <t>2390P013489</t>
  </si>
  <si>
    <t>Semana 3</t>
  </si>
  <si>
    <t>Cobit: Introtução e Princípios-chaves</t>
  </si>
  <si>
    <t>https://youtu.be/-2qVeLe47mg</t>
  </si>
  <si>
    <t>2390P013490</t>
  </si>
  <si>
    <t>AULA 08</t>
  </si>
  <si>
    <t>Cobit: Processos de TI e diretrizes de implantação</t>
  </si>
  <si>
    <t>https://youtu.be/xPDHyVqYjM8</t>
  </si>
  <si>
    <t>2390P013491</t>
  </si>
  <si>
    <t>AULA 09</t>
  </si>
  <si>
    <t>ITIL: Estratégia de Serviço</t>
  </si>
  <si>
    <t>https://youtu.be/0E2oP7PNRsg</t>
  </si>
  <si>
    <t>2390P013492</t>
  </si>
  <si>
    <t>Semana 4</t>
  </si>
  <si>
    <t>AULA 10</t>
  </si>
  <si>
    <t>ITIL: Desenho do serviço</t>
  </si>
  <si>
    <t>https://youtu.be/VIyr-n-YuuM</t>
  </si>
  <si>
    <t>2390P013493</t>
  </si>
  <si>
    <t>AULA 11</t>
  </si>
  <si>
    <t>ITIL: Transição de serviço</t>
  </si>
  <si>
    <t>https://youtu.be/b7pVctSbCeA</t>
  </si>
  <si>
    <t>2390P013494</t>
  </si>
  <si>
    <t>AULA 12</t>
  </si>
  <si>
    <t>ITIL: Operação de serviço e melhoria contínua de serviço</t>
  </si>
  <si>
    <t>https://youtu.be/dcQfk3oRYW8</t>
  </si>
  <si>
    <t>2390P013495</t>
  </si>
  <si>
    <t>Semana 5</t>
  </si>
  <si>
    <t>AULA 13</t>
  </si>
  <si>
    <t>Governança de dados: as leis de proteção de dados</t>
  </si>
  <si>
    <t>Com chroma</t>
  </si>
  <si>
    <t>https://youtu.be/NsXKKE1E9Tw</t>
  </si>
  <si>
    <t>2390P013496</t>
  </si>
  <si>
    <t>AULA 14</t>
  </si>
  <si>
    <t>Governança de dados: a ética nos dados</t>
  </si>
  <si>
    <t>https://youtu.be/Ah0prt98pSY</t>
  </si>
  <si>
    <t>2390P013497</t>
  </si>
  <si>
    <t>AULA 15</t>
  </si>
  <si>
    <t>Governança de dados: metadados</t>
  </si>
  <si>
    <t>https://youtu.be/aZLOEscPZCU</t>
  </si>
  <si>
    <t>2390P013498</t>
  </si>
  <si>
    <t>Semana 6</t>
  </si>
  <si>
    <t>AULA 16</t>
  </si>
  <si>
    <t>Arquitetura Corporativa</t>
  </si>
  <si>
    <t>https://youtu.be/v3arSFbHjLI</t>
  </si>
  <si>
    <t>2390P013499</t>
  </si>
  <si>
    <t>https://youtu.be/wtpp-lhPYu8</t>
  </si>
  <si>
    <t>2390P013670</t>
  </si>
  <si>
    <t>Luciana Canavez</t>
  </si>
  <si>
    <t>Direito constitucional e administrativo</t>
  </si>
  <si>
    <t>Nesta videoaula, você conhecerá e compreenderá quais são as instituições e como é a estrutura do Estado, seus princípios constitucionais e as garantias fundamentais.</t>
  </si>
  <si>
    <t>https://youtu.be/8CgErP60jdQ</t>
  </si>
  <si>
    <t>2390P013532</t>
  </si>
  <si>
    <t xml:space="preserve">Noções de Direito Administrativo </t>
  </si>
  <si>
    <t>Nesta videoaula, você conhecerá e compreenderá os princípios e fundamentos da administração pública.</t>
  </si>
  <si>
    <t>https://youtu.be/n-Had_bjEJ0</t>
  </si>
  <si>
    <t>2390P013533</t>
  </si>
  <si>
    <t>Das pessoas naturais e jurídicas</t>
  </si>
  <si>
    <t>Nesta videoaula, a Profª Luciana Lopes Canavez abordará todas as normas referentes às pessoas naturais, tratando de temas como capacidade e incapacidade, e os direitos da personalidade. Estudaremos ainda quem são as pessoas jurídicas de direito público e privado.</t>
  </si>
  <si>
    <t>https://youtu.be/sKvhRsGFnGU</t>
  </si>
  <si>
    <t>2390P013534</t>
  </si>
  <si>
    <t>Do negócio jurídico, das obrigações contratos e responsabilidade civil</t>
  </si>
  <si>
    <t>Nesta videoaula, analisaremos os requisitos para estabelecer negócios jurídicos, a forma como se estabelecem os vínculos obrigacionais e contratuais, por exemplo o contrato de compra e venda, e as responsabilidades decorrentes desses vínculos (contratual e extracontratual).</t>
  </si>
  <si>
    <t>https://youtu.be/LnqwJRGveEM</t>
  </si>
  <si>
    <t>2390P013535</t>
  </si>
  <si>
    <t>Do direito de propriedade e da posse</t>
  </si>
  <si>
    <t>Nesta videoaula, estudaremos os direitos de posse e de propriedade e as formas de manutenção e conservação desses direitos.</t>
  </si>
  <si>
    <t>https://youtu.be/cMdulMVLSo0</t>
  </si>
  <si>
    <t>2390P013918</t>
  </si>
  <si>
    <t>Noções gerais de Direito Empresarial</t>
  </si>
  <si>
    <t>Nesta videoaula, a Profª Luciana Lopes Canavez abordará todos os conceitos iniciais do Direito Empresarial, tratará da capacidade de ser empresário, das responsabilidades e da perda da capacidade de empresário.</t>
  </si>
  <si>
    <t>https://youtu.be/wAqjZMY82zQ</t>
  </si>
  <si>
    <t>2390P013537</t>
  </si>
  <si>
    <t xml:space="preserve">Das Sociedades </t>
  </si>
  <si>
    <t>Nesta videoaula, analisaremos as sociedades personificadas e não personificadas, e trataremos dos tipos societários mais comuns, como a sociedade limitada, sociedade anônima e sociedade simples.</t>
  </si>
  <si>
    <t>https://youtu.be/RVWsz8pCPp0</t>
  </si>
  <si>
    <t>2390P013538</t>
  </si>
  <si>
    <t>Introdução ao Direito Ambiental</t>
  </si>
  <si>
    <t>Nesta videoaula, a Profª Luciana Lopes Canavez abordará conceitos, normas e princípios do Direito Ambiental no Brasil, destacando a importância de sua preservação, inclusive para o universo das empresas.</t>
  </si>
  <si>
    <t>https://youtu.be/uum5GiavGB0</t>
  </si>
  <si>
    <t>2390P013539</t>
  </si>
  <si>
    <t>Crimes Ambientais: Prevencão e reparação</t>
  </si>
  <si>
    <t>Nesta videoaula, analisaremos os crimes ambientais, as formas de prevenção e reparação, passando pela apuração das responsabilidades dos causadores de danos ao meio ambiente.</t>
  </si>
  <si>
    <t>https://youtu.be/R0L4EG-hVd8</t>
  </si>
  <si>
    <t>2390P013540</t>
  </si>
  <si>
    <t>Sistema Tributário Nacional</t>
  </si>
  <si>
    <t>Nesta videoaula, a Profª Luciana Lopes Canavez abordará as normas referentes ao sistema tributário nacional, tratando de temas como os princípios gerais e as limitações ao poder de tributar.</t>
  </si>
  <si>
    <t>https://youtu.be/tzFL16-Kqdw</t>
  </si>
  <si>
    <t>2390P013986</t>
  </si>
  <si>
    <t xml:space="preserve">Tributos e obrigações fiscais das empresas </t>
  </si>
  <si>
    <t>Nesta videoaula, analisaremos os tributos federais, estaduais e municipais, e estudaremos as obrigações fiscais impostas às empresas.</t>
  </si>
  <si>
    <t>https://youtu.be/Xg_XgQXeGX8</t>
  </si>
  <si>
    <t>2390P013987</t>
  </si>
  <si>
    <t xml:space="preserve">LGPD: Proteção de dados pessoais e da personalidade na internet </t>
  </si>
  <si>
    <t>Nesta videoaula, a Profª Luciana Lopes Canavez abordará as normas que regulamentam o uso da internet no Brasil e a proteção de dados pessoais na internet.</t>
  </si>
  <si>
    <t>https://youtu.be/PwDHciLZqLg</t>
  </si>
  <si>
    <t>2390P013543</t>
  </si>
  <si>
    <t>Relação de consumo no ambiente digital e responsabilidade civil por danos causados no ambiente digital</t>
  </si>
  <si>
    <t>Nesta videoaula, analisaremos as relações de consumo no ambiente digital e as normas aplicáveis à reparação de danos causados nessas relações.</t>
  </si>
  <si>
    <t>https://youtu.be/cU0ialCUYcg</t>
  </si>
  <si>
    <t>2390P013544</t>
  </si>
  <si>
    <t>Semana 7</t>
  </si>
  <si>
    <t>Propriedade Intelectual e os principais institutos para o universo das empresas I</t>
  </si>
  <si>
    <t>Nesta videoaula, a Profª Luciana Lopes Canavez abordará o regramento sobre direitos autorais e conexos e a proteção dos programas de computador.</t>
  </si>
  <si>
    <t>https://youtu.be/BrLovMawC-0</t>
  </si>
  <si>
    <t>2390P013545</t>
  </si>
  <si>
    <t>Propriedade Intelectual e os principais institutos para o universo das empresas II</t>
  </si>
  <si>
    <t>Nesta videoaula, analisaremos os direitos da propriedade industrial mais comumente usados pelas empresas, como a proteção das patentes, das marcas e dos desenhos industriais.</t>
  </si>
  <si>
    <t>https://youtu.be/vcIuR5N5iZQ</t>
  </si>
  <si>
    <t>2390P014607</t>
  </si>
  <si>
    <t>https://youtu.be/A5cxGChQ9Ps</t>
  </si>
  <si>
    <t>2390P015553</t>
  </si>
  <si>
    <t>Introdução ao desenho técnico e sua importância na engenharia</t>
  </si>
  <si>
    <t>https://youtu.be/dAF356fZB8Y</t>
  </si>
  <si>
    <t>2390P015554</t>
  </si>
  <si>
    <t>Compreensão das normas e convenções de desenho técnico</t>
  </si>
  <si>
    <t>https://youtu.be/tfnsNfc6JA4</t>
  </si>
  <si>
    <t>2390P015555</t>
  </si>
  <si>
    <t>Familiarização com os instrumentos de desenho e sua utilização</t>
  </si>
  <si>
    <t>https://youtu.be/G0rCcaQw7ns</t>
  </si>
  <si>
    <t>2390P015556</t>
  </si>
  <si>
    <t>Conceito de projeções ortogonais e sua relação com as vistas ortográficas.</t>
  </si>
  <si>
    <t>https://youtu.be/Xume9njgXU4</t>
  </si>
  <si>
    <t>2390P015557</t>
  </si>
  <si>
    <t>Prática na criação de vistas ortográficas a partir de modelos tridimensionais.</t>
  </si>
  <si>
    <t>https://youtu.be/U8Liw6ckR28</t>
  </si>
  <si>
    <t>2390P015558</t>
  </si>
  <si>
    <t>Demonstração de exercícios de representação de objetos em diferentes vistas ortográficas</t>
  </si>
  <si>
    <t>https://youtu.be/E05nl_5Z9Ls</t>
  </si>
  <si>
    <t>2390P015559</t>
  </si>
  <si>
    <t>Utilização de vistas auxiliares para representar detalhes específicos de um objeto.</t>
  </si>
  <si>
    <t>https://youtu.be/uTT7Hj0VM7Y</t>
  </si>
  <si>
    <t>2390P015560</t>
  </si>
  <si>
    <t>Técnicas de criação de cortes em desenhos técnicos para visualizar características internas.</t>
  </si>
  <si>
    <t xml:space="preserve">                                                                                                                                                          </t>
  </si>
  <si>
    <t>https://youtu.be/Z3zhtX8FCxg</t>
  </si>
  <si>
    <t>2390P015561</t>
  </si>
  <si>
    <t>Exercícios práticos de criação de vistas auxiliares e cortes em diferentes objetos.</t>
  </si>
  <si>
    <t>https://youtu.be/D1Ov8IybffM</t>
  </si>
  <si>
    <t>2390P015562</t>
  </si>
  <si>
    <t>Conceitos de cotagem e sua importância na interpretação de desenhos técnicos.</t>
  </si>
  <si>
    <t>https://youtu.be/jKzNkLfjBXM</t>
  </si>
  <si>
    <t>2390P015563</t>
  </si>
  <si>
    <t>Normas e convenções para indicar dimensões e tolerâncias.</t>
  </si>
  <si>
    <t>https://youtu.be/uChC4A2HX9A</t>
  </si>
  <si>
    <t>2390P015564</t>
  </si>
  <si>
    <t>Prática na correta cotagem de desenhos técnicos, incluindo a indicação de tolerâncias.</t>
  </si>
  <si>
    <t>https://youtu.be/sxbnUPycGTk</t>
  </si>
  <si>
    <t>2390P015565</t>
  </si>
  <si>
    <t>Técnicas de criação e interpretação de vistas em corte.</t>
  </si>
  <si>
    <t>https://youtu.be/NLdTdHtvveQ</t>
  </si>
  <si>
    <t>2390P015566</t>
  </si>
  <si>
    <t>Aplicação das vistas em corte para representar seções transversais de objetos.</t>
  </si>
  <si>
    <t>https://youtu.be/uBDtWlEegZk</t>
  </si>
  <si>
    <t>2390P015567</t>
  </si>
  <si>
    <t>Demonstração de exercícios de desenho de vistas em corte em diferentes objetos e configurações.</t>
  </si>
  <si>
    <t>https://youtu.be/3UdqEhPeLCw</t>
  </si>
  <si>
    <t>2390P015568</t>
  </si>
  <si>
    <t>Introdução ao desenho isométrico e sua aplicação na representação de objetos tridimensionais</t>
  </si>
  <si>
    <t>https://youtu.be/BMUrPf2rztw</t>
  </si>
  <si>
    <t>2390P015569</t>
  </si>
  <si>
    <t>AULA 17</t>
  </si>
  <si>
    <t>Técnicas de criação de desenhos isométricos</t>
  </si>
  <si>
    <t>https://youtu.be/WIFGPc9tYRM</t>
  </si>
  <si>
    <t>2390P015570</t>
  </si>
  <si>
    <t>AULA 18</t>
  </si>
  <si>
    <t>Prática na representação de objetos em desenhos isométricos</t>
  </si>
  <si>
    <t>https://youtu.be/DK3TRvAIG2o</t>
  </si>
  <si>
    <t>2390P015571</t>
  </si>
  <si>
    <t>AULA 19</t>
  </si>
  <si>
    <t>Conceitos básicos de desenho assistido por computador (CAD).</t>
  </si>
  <si>
    <t>https://youtu.be/-72Jch3RY-k</t>
  </si>
  <si>
    <t>2390P015572</t>
  </si>
  <si>
    <t>AULA 20</t>
  </si>
  <si>
    <t>Familiarização com o software CAD utilizado.</t>
  </si>
  <si>
    <t>https://youtu.be/Eg90mJ6A1oM</t>
  </si>
  <si>
    <t>2390P015573</t>
  </si>
  <si>
    <t>COSTURANDO</t>
  </si>
  <si>
    <t>COST. 01</t>
  </si>
  <si>
    <t>Semana 01</t>
  </si>
  <si>
    <t>https://youtu.be/GMGRBF5IWH8</t>
  </si>
  <si>
    <t>2390P013693</t>
  </si>
  <si>
    <t>COST. 02</t>
  </si>
  <si>
    <t>Semana 02</t>
  </si>
  <si>
    <t>https://youtu.be/of9oL7zntG0</t>
  </si>
  <si>
    <t>2390P013626</t>
  </si>
  <si>
    <t>COST. 03</t>
  </si>
  <si>
    <t>Semana 03</t>
  </si>
  <si>
    <t>https://youtu.be/nKvxLQWAhXA</t>
  </si>
  <si>
    <t>2390P013627</t>
  </si>
  <si>
    <t>COST. 04</t>
  </si>
  <si>
    <t>Semana 04</t>
  </si>
  <si>
    <t>https://youtu.be/IEJo416ylWQ</t>
  </si>
  <si>
    <t>2390P013628</t>
  </si>
  <si>
    <t>COST. 05</t>
  </si>
  <si>
    <t>Semana 05</t>
  </si>
  <si>
    <t>https://youtu.be/W7dPKUOejaQ</t>
  </si>
  <si>
    <t>2390P013629</t>
  </si>
  <si>
    <t>COST. 06</t>
  </si>
  <si>
    <t>Semana 06</t>
  </si>
  <si>
    <t>https://youtu.be/ZoQKsuYTN7M</t>
  </si>
  <si>
    <t>2390P013630</t>
  </si>
  <si>
    <t>COST. 07</t>
  </si>
  <si>
    <t>Semana 07</t>
  </si>
  <si>
    <t>https://youtu.be/PrZ0K2xnUKk</t>
  </si>
  <si>
    <t>2390P013631</t>
  </si>
  <si>
    <t>https://youtu.be/jKm0CQ_wzxU</t>
  </si>
  <si>
    <t>2390P013632</t>
  </si>
  <si>
    <t>Dimensão Humana: Foco Socioemocional - Envolvimento escola / pais</t>
  </si>
  <si>
    <t>https://youtu.be/IdKEVuYDxn4</t>
  </si>
  <si>
    <t>2390P013633</t>
  </si>
  <si>
    <t>Dimensão Humana: Foco Socioemocional - Ensinar o aluno da melhor maneira</t>
  </si>
  <si>
    <t>https://youtu.be/eM32H79aigQ</t>
  </si>
  <si>
    <t>2390P013634</t>
  </si>
  <si>
    <t>Dimensão Técnica: Foco didática - Estratégias pedagógicas na didática</t>
  </si>
  <si>
    <t>https://youtu.be/GDfgJ67qXhE</t>
  </si>
  <si>
    <t>2390P013635</t>
  </si>
  <si>
    <t>Dimensão Técnica: O que é Didática?</t>
  </si>
  <si>
    <t>https://youtu.be/_spz1II91Y4</t>
  </si>
  <si>
    <t>2390P013636</t>
  </si>
  <si>
    <t>Dimensão Política: Foco no Planejamento</t>
  </si>
  <si>
    <t>https://youtu.be/ytYmO5rSwOk</t>
  </si>
  <si>
    <t>2390P013637</t>
  </si>
  <si>
    <t xml:space="preserve">Dimensão Técnica: Foco na avaliação da aprendizagem </t>
  </si>
  <si>
    <t>https://youtu.be/XYcvXdhetRQ</t>
  </si>
  <si>
    <t>2390P013638</t>
  </si>
  <si>
    <t>Tour pela escola</t>
  </si>
  <si>
    <t>https://youtu.be/sGKlKdJGHfg</t>
  </si>
  <si>
    <t>2390P013640</t>
  </si>
  <si>
    <t>Os documentos curriculares: Currículo Paulista e Projeto Político Pedagógico</t>
  </si>
  <si>
    <t>https://youtu.be/a6HhKNNGR64</t>
  </si>
  <si>
    <t>2390P013641</t>
  </si>
  <si>
    <t>A BNCC e o planejamento semanal</t>
  </si>
  <si>
    <t>https://youtu.be/MCT5AsOeJhQ</t>
  </si>
  <si>
    <t>2390P013643</t>
  </si>
  <si>
    <t>A construção de competência e as metodologias ativas</t>
  </si>
  <si>
    <t>https://youtu.be/INFvX2AiYFM</t>
  </si>
  <si>
    <t>2390P013644</t>
  </si>
  <si>
    <t>Desvendando a BNCC da Computação e o Pensamento Computacional</t>
  </si>
  <si>
    <t>https://youtu.be/NexqKaLns8g</t>
  </si>
  <si>
    <t>2390P013646</t>
  </si>
  <si>
    <t>Os pilares do Pensamento computacional na prática</t>
  </si>
  <si>
    <t>https://youtu.be/wP6zl1ymASw</t>
  </si>
  <si>
    <t>2390P013639</t>
  </si>
  <si>
    <t>Pensamento Computacional na sala de aula</t>
  </si>
  <si>
    <t>https://youtu.be/aJPStO1yRCI</t>
  </si>
  <si>
    <t>2390P013642</t>
  </si>
  <si>
    <t>Estratégia de Planejamento Curricular: Uma Visão Experiente</t>
  </si>
  <si>
    <t>https://youtu.be/bb5cphNGQK8</t>
  </si>
  <si>
    <t>2390P013645</t>
  </si>
  <si>
    <t>Práticas Pedagógicas em Ação: Da Teoria á Sala de Aula</t>
  </si>
  <si>
    <t>https://youtu.be/7bGuKtAIUO0</t>
  </si>
  <si>
    <t>2390P014154</t>
  </si>
  <si>
    <t>Construindo Aulas: Do Planejamento à Prática</t>
  </si>
  <si>
    <t>https://youtu.be/sgPBkfAWWNI</t>
  </si>
  <si>
    <t>2390P014263</t>
  </si>
  <si>
    <t>Criatividade em Ação: Inspirados pelos Alunos</t>
  </si>
  <si>
    <t>https://youtu.be/nSWovJaxA84</t>
  </si>
  <si>
    <t>2390P014264</t>
  </si>
  <si>
    <t>Didática sob o Olhar dos Alunos</t>
  </si>
  <si>
    <t>https://youtu.be/wzXQtfKq-sc</t>
  </si>
  <si>
    <t>2390P014265</t>
  </si>
  <si>
    <t>Perspectiva em avaliação: discutindo sobre Práticas Eficientes</t>
  </si>
  <si>
    <t>https://youtu.be/K3K4r1CBrm8</t>
  </si>
  <si>
    <t>2390P014338</t>
  </si>
  <si>
    <t xml:space="preserve">Avaliação além das notas: experiência da escola Angelo Bizzo </t>
  </si>
  <si>
    <t>https://youtu.be/otoZBLn168c</t>
  </si>
  <si>
    <t>2390P014339</t>
  </si>
  <si>
    <t>Fundamentos Históricos, Filosóficos e Sociológicos da Educação</t>
  </si>
  <si>
    <t>Introdução: As relações entre filosofia, sociologia e educação</t>
  </si>
  <si>
    <t>https://youtu.be/qpr74JGSupc</t>
  </si>
  <si>
    <t>2390P013554</t>
  </si>
  <si>
    <t>Introdução: As relações entre filosofia, sociologia e educação part.2</t>
  </si>
  <si>
    <t>https://youtu.be/ip7C-LPy2Kg</t>
  </si>
  <si>
    <t>2390P013555</t>
  </si>
  <si>
    <t>A educação no período Colonial</t>
  </si>
  <si>
    <t>https://youtu.be/zYYpFHj2GoM</t>
  </si>
  <si>
    <t>2390P013556</t>
  </si>
  <si>
    <t>A educação no período Colonial part.2</t>
  </si>
  <si>
    <t>https://youtu.be/OLxN515suhM</t>
  </si>
  <si>
    <t>2390P013557</t>
  </si>
  <si>
    <t>A educação no período do Império</t>
  </si>
  <si>
    <t>https://youtu.be/N0KZ_McZNF4</t>
  </si>
  <si>
    <t>2390P013558</t>
  </si>
  <si>
    <t>A educação no período do Império part.2</t>
  </si>
  <si>
    <t>https://youtu.be/W3S3SX69PJ4</t>
  </si>
  <si>
    <t>2390P013559</t>
  </si>
  <si>
    <t>O surgimento da escola pública</t>
  </si>
  <si>
    <t>https://youtu.be/82_8VaX8Yg8</t>
  </si>
  <si>
    <t>2390P013560</t>
  </si>
  <si>
    <t>O surgimento da escola pública part.2</t>
  </si>
  <si>
    <t>https://youtu.be/yDjtQVLFeZg</t>
  </si>
  <si>
    <t>2390P013561</t>
  </si>
  <si>
    <t>A Escola nova</t>
  </si>
  <si>
    <t>https://youtu.be/z7ibXTdZ3hU</t>
  </si>
  <si>
    <t>2390P013562</t>
  </si>
  <si>
    <t>A Escola nova part.2</t>
  </si>
  <si>
    <t>https://youtu.be/Sa3iz5JFkAA</t>
  </si>
  <si>
    <t>2390P013563</t>
  </si>
  <si>
    <t>Concepções filosóficas e sociologicas de educação - Parte 1</t>
  </si>
  <si>
    <t>https://youtu.be/QRCoJvT7N_Y</t>
  </si>
  <si>
    <t>Ok</t>
  </si>
  <si>
    <t>2390P013564</t>
  </si>
  <si>
    <t>Concepções filosóficas e sociologicas de educação</t>
  </si>
  <si>
    <t>https://youtu.be/GtVctIHOLDQ</t>
  </si>
  <si>
    <t>2390P013565</t>
  </si>
  <si>
    <t>Desafios da Educação na atualidade</t>
  </si>
  <si>
    <t>https://youtu.be/ZgkzCHi6nrc</t>
  </si>
  <si>
    <t>2390P013566</t>
  </si>
  <si>
    <t>Desafios da Educação na atualidade - Parte 2</t>
  </si>
  <si>
    <t>https://youtu.be/GNXmTTVlkW4</t>
  </si>
  <si>
    <t>2390P013567</t>
  </si>
  <si>
    <t xml:space="preserve">Apresentação </t>
  </si>
  <si>
    <t>https://youtu.be/4_7ttKOawbY</t>
  </si>
  <si>
    <t>2390P013671</t>
  </si>
  <si>
    <t>Introdução aos Compiladores - Parte 1</t>
  </si>
  <si>
    <t>https://youtu.be/IO8L7ZcGIBE</t>
  </si>
  <si>
    <t>2390P013672</t>
  </si>
  <si>
    <t>Introdução aos Compiladores - Parte 2</t>
  </si>
  <si>
    <t>https://youtu.be/-fUIAZslUec</t>
  </si>
  <si>
    <t>2390P013673</t>
  </si>
  <si>
    <t>Introdução aos Compiladores - Parte 3</t>
  </si>
  <si>
    <t>https://youtu.be/jcsNH9g1eWY</t>
  </si>
  <si>
    <t>2390P013674</t>
  </si>
  <si>
    <t>Análise Léxica - Parte 1</t>
  </si>
  <si>
    <t>https://youtu.be/7Il_3wWc1Ic</t>
  </si>
  <si>
    <t>2390P013675</t>
  </si>
  <si>
    <t>Análise Léxica - Parte 2</t>
  </si>
  <si>
    <t>https://youtu.be/mSGgoxHj834</t>
  </si>
  <si>
    <t>2390P013676</t>
  </si>
  <si>
    <t>Análise Sintática - Parte 1</t>
  </si>
  <si>
    <t>https://youtu.be/-VNmgcnsseo</t>
  </si>
  <si>
    <t>2390P013677</t>
  </si>
  <si>
    <t>Análise Sintática - Parte 2</t>
  </si>
  <si>
    <t>https://youtu.be/F3V7q1L-_WM</t>
  </si>
  <si>
    <t>2390P013678</t>
  </si>
  <si>
    <t xml:space="preserve">Gramáticas </t>
  </si>
  <si>
    <t>https://youtu.be/DSgAHKDxHt4</t>
  </si>
  <si>
    <t>2390P013679</t>
  </si>
  <si>
    <t xml:space="preserve">Árvore de Derivação </t>
  </si>
  <si>
    <t>https://youtu.be/mvTLPr_yi9Q</t>
  </si>
  <si>
    <t>2390P013680</t>
  </si>
  <si>
    <t xml:space="preserve">Tipos de Análise e Algoritmos </t>
  </si>
  <si>
    <t>https://youtu.be/m_oCazmF9i8</t>
  </si>
  <si>
    <t>2390P013681</t>
  </si>
  <si>
    <t xml:space="preserve">Análise Sintática Descendente </t>
  </si>
  <si>
    <t>https://youtu.be/jdbqaNVLRU8</t>
  </si>
  <si>
    <t>2390P013682</t>
  </si>
  <si>
    <t xml:space="preserve">Análise Sintática Ascendente </t>
  </si>
  <si>
    <t>https://youtu.be/1NcdHjsnyaM</t>
  </si>
  <si>
    <t>2390P013683</t>
  </si>
  <si>
    <t xml:space="preserve">Análise Semântica - Parte 1 </t>
  </si>
  <si>
    <t>https://youtu.be/IeBzkXhzLMg</t>
  </si>
  <si>
    <t>2390P013684</t>
  </si>
  <si>
    <t>Análise Semântica - Parte 2</t>
  </si>
  <si>
    <t>https://youtu.be/NCs3Nl1ruaw</t>
  </si>
  <si>
    <t>2390P013685</t>
  </si>
  <si>
    <t xml:space="preserve">Tabela de Símbolos </t>
  </si>
  <si>
    <t>https://youtu.be/Lbw2XSXdMfk</t>
  </si>
  <si>
    <t>2390P013992</t>
  </si>
  <si>
    <t>Geração de Código Intermedário - Parte 1</t>
  </si>
  <si>
    <t>https://youtu.be/kprY66DRrfM</t>
  </si>
  <si>
    <t>2390P013687</t>
  </si>
  <si>
    <t>Geração de Código Intermedário - Parte 2</t>
  </si>
  <si>
    <t>https://youtu.be/7-fRozxcnLs</t>
  </si>
  <si>
    <t>2390P013688</t>
  </si>
  <si>
    <t xml:space="preserve">Otimização de Código </t>
  </si>
  <si>
    <t>https://youtu.be/NIFbBdmXY7M</t>
  </si>
  <si>
    <t>2390P013689</t>
  </si>
  <si>
    <t>Gerenciamento de Memória</t>
  </si>
  <si>
    <t>https://youtu.be/saa-kImX_7Q</t>
  </si>
  <si>
    <t>2390P013690</t>
  </si>
  <si>
    <t>Exemplos de Otimização de Código</t>
  </si>
  <si>
    <t>https://youtu.be/ACFeqbGKm7s</t>
  </si>
  <si>
    <t>2390P013691</t>
  </si>
  <si>
    <t>AULA 21</t>
  </si>
  <si>
    <t xml:space="preserve">Compiladores X Interpretadores </t>
  </si>
  <si>
    <t>https://youtu.be/_UW6zqpqUoM</t>
  </si>
  <si>
    <t>2390P013692</t>
  </si>
  <si>
    <t>https://youtu.be/bPCusHxXqwY</t>
  </si>
  <si>
    <t>2390P013647</t>
  </si>
  <si>
    <t>Fundamentos de Marketing</t>
  </si>
  <si>
    <t>https://youtu.be/VADtol1bGf8</t>
  </si>
  <si>
    <t>2390P014149</t>
  </si>
  <si>
    <t>Os 4Ps (produto, preço, praça e promoção).</t>
  </si>
  <si>
    <t>https://youtu.be/xmtxEj14A1c</t>
  </si>
  <si>
    <t>2390P013599</t>
  </si>
  <si>
    <t>Estratégias de segmentação de mercado e posicionamento.</t>
  </si>
  <si>
    <t>https://youtu.be/FfZ5G3bu-VM</t>
  </si>
  <si>
    <t>2390P013600</t>
  </si>
  <si>
    <t>Pesquisa de Mercado</t>
  </si>
  <si>
    <t>https://youtu.be/K8N3wtu00Ds</t>
  </si>
  <si>
    <t>2390P013601</t>
  </si>
  <si>
    <t>Técnicas de coleta e análise de dados no marketing</t>
  </si>
  <si>
    <t>https://youtu.be/6tscqcKxZnI</t>
  </si>
  <si>
    <t>2390P013602</t>
  </si>
  <si>
    <t>Comportamento do consumidor e tendências de mercado</t>
  </si>
  <si>
    <t>https://youtu.be/WjQylXkNIAw</t>
  </si>
  <si>
    <t>2390P013603</t>
  </si>
  <si>
    <t>Marketing de busca</t>
  </si>
  <si>
    <t>https://youtu.be/9Lj-wIfZQ6M</t>
  </si>
  <si>
    <t>2390P013604</t>
  </si>
  <si>
    <t>O uso dos anúncios pagos</t>
  </si>
  <si>
    <t>https://youtu.be/W6PLmL27sPs</t>
  </si>
  <si>
    <t>2390P013741</t>
  </si>
  <si>
    <t>Estratégias de otimização de sites</t>
  </si>
  <si>
    <t>https://youtu.be/VDRvZgjcpVg</t>
  </si>
  <si>
    <t>2390P013606</t>
  </si>
  <si>
    <t>Elaboração de um plano de marketing</t>
  </si>
  <si>
    <t>https://youtu.be/GvMV2xNMmNM</t>
  </si>
  <si>
    <t>2390P014061</t>
  </si>
  <si>
    <t>Identificação de metas e recursos</t>
  </si>
  <si>
    <t>https://youtu.be/Y0x4e96ZNmw</t>
  </si>
  <si>
    <t>2390P013608</t>
  </si>
  <si>
    <t>Monitoramento de desempenho</t>
  </si>
  <si>
    <t>https://youtu.be/p10EWseGumo</t>
  </si>
  <si>
    <t>2390P013609</t>
  </si>
  <si>
    <t>Estratégias de marketing de serviços</t>
  </si>
  <si>
    <t>https://youtu.be/ZKbojGW9_So</t>
  </si>
  <si>
    <t>2390P014150</t>
  </si>
  <si>
    <t>Características do setor de serviços</t>
  </si>
  <si>
    <t>https://youtu.be/6xy1vpnkMYY</t>
  </si>
  <si>
    <t>2390P014151</t>
  </si>
  <si>
    <t>Marketing de relacionamento</t>
  </si>
  <si>
    <t>https://youtu.be/sCvG0WEIjDA</t>
  </si>
  <si>
    <t>2390P014152</t>
  </si>
  <si>
    <t>Marketing tradicional e o marketing digital</t>
  </si>
  <si>
    <t>Com arte</t>
  </si>
  <si>
    <t>https://youtu.be/pmZ7y5W7AGg</t>
  </si>
  <si>
    <t>2390P014590</t>
  </si>
  <si>
    <t>As plataformas e os canais digitais</t>
  </si>
  <si>
    <t>https://youtu.be/FQ29eXQZeeU</t>
  </si>
  <si>
    <t>2390P013614</t>
  </si>
  <si>
    <t>Estratégias de marketing digital, como redes sociais, e-mail marketing e marketing de conteúdo.</t>
  </si>
  <si>
    <t>https://youtu.be/KBiU5Hge0oY</t>
  </si>
  <si>
    <t>2390P013615</t>
  </si>
  <si>
    <t>Aprender a utilizar ferramentas de análise de dados no contexto do marketing.</t>
  </si>
  <si>
    <t>https://youtu.be/QeZOYhYFR7E</t>
  </si>
  <si>
    <t>2390P013616</t>
  </si>
  <si>
    <t>Utilização de ferramentas de análise de dados no marketing</t>
  </si>
  <si>
    <t>https://youtu.be/FfBohIWWb-A</t>
  </si>
  <si>
    <t>2390P013617</t>
  </si>
  <si>
    <t>Desenvolver habilidades para medir e avaliar o desempenho das estratégias de marketing com base nos dados coletados</t>
  </si>
  <si>
    <t>https://youtu.be/hjurTPiF_Fg</t>
  </si>
  <si>
    <t>2390P013618</t>
  </si>
  <si>
    <t>https://youtu.be/yjEcmCJeLZI</t>
  </si>
  <si>
    <t>2390P013695</t>
  </si>
  <si>
    <t>Estudar os conceitos básicos da administração da produção e operações</t>
  </si>
  <si>
    <t>https://youtu.be/s6Qx6Emie1M</t>
  </si>
  <si>
    <t>2390P013696</t>
  </si>
  <si>
    <t>Compreender os princípios e objetivos da gestão da qualidade</t>
  </si>
  <si>
    <t>https://youtu.be/RStenZ0btAo</t>
  </si>
  <si>
    <t>2390P013697</t>
  </si>
  <si>
    <t>Familiarizar-se com os sistemas de produção enxuta e sua aplicação</t>
  </si>
  <si>
    <t>https://youtu.be/uSaOps8hZRk</t>
  </si>
  <si>
    <t>2390P013698</t>
  </si>
  <si>
    <t>Monitoramento e desempenho</t>
  </si>
  <si>
    <t>https://youtu.be/FZTdqS68gtw</t>
  </si>
  <si>
    <t>2390P013699</t>
  </si>
  <si>
    <t>Programação e Sequenciamento de Atividades Produtivas</t>
  </si>
  <si>
    <t>https://youtu.be/f0TNILztUXw</t>
  </si>
  <si>
    <t>2390P013700</t>
  </si>
  <si>
    <t>Técnicas de controle da produção</t>
  </si>
  <si>
    <t>https://youtu.be/j2aJG4OHPKQ</t>
  </si>
  <si>
    <t>2390P013701</t>
  </si>
  <si>
    <t>Técnicas para determinação de níveis de estoque ideais</t>
  </si>
  <si>
    <t>https://youtu.be/D__RkqqAmp0</t>
  </si>
  <si>
    <t>2390P013702</t>
  </si>
  <si>
    <t>Políticas de reposição de estoque e sistemas de controle de estoque eficientes.</t>
  </si>
  <si>
    <t>https://youtu.be/uW2ZSoGOYXw</t>
  </si>
  <si>
    <t>2390P013703</t>
  </si>
  <si>
    <t>Tipos de estoque e suas funções na cadeia de suprimentos.</t>
  </si>
  <si>
    <t>https://youtu.be/jndqowMlybk</t>
  </si>
  <si>
    <t>2390P013704</t>
  </si>
  <si>
    <t>Análises de capacidade produtiva e seus gargalos.</t>
  </si>
  <si>
    <t>https://youtu.be/29RaLQQxR-M</t>
  </si>
  <si>
    <t>2390P013705</t>
  </si>
  <si>
    <t>Balanceamento de carga de trabalho e alocação de recursos</t>
  </si>
  <si>
    <t>https://youtu.be/Lc7E3Tpj0jY</t>
  </si>
  <si>
    <t>2390P013706</t>
  </si>
  <si>
    <t>Técnicas de dimensionamento de capacidade, considerando demandas sazonais e estratégias de crescimento</t>
  </si>
  <si>
    <t>https://youtu.be/CUY19o0E-M0</t>
  </si>
  <si>
    <t>2390P013707</t>
  </si>
  <si>
    <t>Estratégias de aquisição e gestão de materiais</t>
  </si>
  <si>
    <t>https://youtu.be/tVt8-mv5-Iw</t>
  </si>
  <si>
    <t>2390P013708</t>
  </si>
  <si>
    <t>Sistemas de controle de ativos e recursos patrimoniais.</t>
  </si>
  <si>
    <t>https://youtu.be/b-1v9qyS0pk</t>
  </si>
  <si>
    <t>2390P013709</t>
  </si>
  <si>
    <t>Negociação e gestão de contratos com fornecedores.</t>
  </si>
  <si>
    <t>https://youtu.be/Ap-fi_vALwQ</t>
  </si>
  <si>
    <t>2390P013710</t>
  </si>
  <si>
    <t>Princípios e funcionalidades de sistemas de gestão integrada</t>
  </si>
  <si>
    <t>https://youtu.be/_l0c9nXvRqQ</t>
  </si>
  <si>
    <t>2390P013711</t>
  </si>
  <si>
    <t>Planejamento e controle das atividades de produção, estoque e suprimentos.</t>
  </si>
  <si>
    <t>https://youtu.be/-hqzCfHMaDA</t>
  </si>
  <si>
    <t>2390P013712</t>
  </si>
  <si>
    <t>Análise de dados e tomada de decisão com base nas informações geradas pelos sistemas.</t>
  </si>
  <si>
    <t>https://youtu.be/fy1KvQUaxHw</t>
  </si>
  <si>
    <t>2390P013713</t>
  </si>
  <si>
    <t>Estudos de caso e Projetos práticos.</t>
  </si>
  <si>
    <t>https://youtu.be/2q-sbPUv01c</t>
  </si>
  <si>
    <t>2390P013714</t>
  </si>
  <si>
    <t>Estratégias de administração da produção e operações em empresas</t>
  </si>
  <si>
    <t>com arte</t>
  </si>
  <si>
    <t>https://youtu.be/53U4tEed78E</t>
  </si>
  <si>
    <t>2390P013715</t>
  </si>
  <si>
    <t>Desafios e oportunidade na gestão da produção e operações em diferentes setores e contextos organizacionais</t>
  </si>
  <si>
    <t>https://youtu.be/s72rYqYDzWg</t>
  </si>
  <si>
    <t>2390P013716</t>
  </si>
  <si>
    <t>https://youtu.be/Ik8Yu_ZLz3w</t>
  </si>
  <si>
    <t>2390P013717</t>
  </si>
  <si>
    <t>Estatística e Engenharia</t>
  </si>
  <si>
    <t>https://youtu.be/Rod-sPEvegw</t>
  </si>
  <si>
    <t>2390P013718</t>
  </si>
  <si>
    <t>Qualidade: Controle da Qualidade</t>
  </si>
  <si>
    <t>https://youtu.be/9wEbfAh8HRw</t>
  </si>
  <si>
    <t>2390P013719</t>
  </si>
  <si>
    <t>Controle Estatístico de Processo - Conceitos</t>
  </si>
  <si>
    <t>https://youtu.be/vjsJTkjwa-M</t>
  </si>
  <si>
    <t>2390P014337</t>
  </si>
  <si>
    <t>Análise e priorização de problemas - o princípio de Pareto</t>
  </si>
  <si>
    <t>https://youtu.be/76LvKK6bLu0</t>
  </si>
  <si>
    <t>2390P014591</t>
  </si>
  <si>
    <t>O Diagrama de Pareto - construção</t>
  </si>
  <si>
    <t>https://youtu.be/wHOC5GV0RpY</t>
  </si>
  <si>
    <t>2390P014592</t>
  </si>
  <si>
    <t>Diagrama de Pareto: exemplos de aplicação</t>
  </si>
  <si>
    <t>https://youtu.be/qyF8V_nBXEc</t>
  </si>
  <si>
    <t>2390P013723</t>
  </si>
  <si>
    <t>Kaoru Ishikawa e as Ferramentas da Qualidade</t>
  </si>
  <si>
    <t>https://youtu.be/zr79A7aTu3A</t>
  </si>
  <si>
    <t>2390P013724</t>
  </si>
  <si>
    <t>O Diagrama de Ishikawa</t>
  </si>
  <si>
    <t>https://youtu.be/6de6iREpX-A</t>
  </si>
  <si>
    <t>2390P013725</t>
  </si>
  <si>
    <t>Diagrama de Ishikawa: exemplos de aplicação</t>
  </si>
  <si>
    <t>https://youtu.be/Th1j6OlTO5M</t>
  </si>
  <si>
    <t>2390P013726</t>
  </si>
  <si>
    <t>Shewhart e o CEP / gráfico de controle</t>
  </si>
  <si>
    <t>https://youtu.be/hOpSz2Ab7J0</t>
  </si>
  <si>
    <t>2390P013727</t>
  </si>
  <si>
    <t>Tipos de Gráficos de Controle</t>
  </si>
  <si>
    <t>https://youtu.be/LrfLtFWv6O0</t>
  </si>
  <si>
    <t>2390P013728</t>
  </si>
  <si>
    <t>Gráficos de Controle: exemplos de aplicação</t>
  </si>
  <si>
    <t>https://youtu.be/AB8YZ42INfo</t>
  </si>
  <si>
    <t>2390P013729</t>
  </si>
  <si>
    <t>Inspeção da qualidade</t>
  </si>
  <si>
    <t>https://youtu.be/dRKgO5cSOW4</t>
  </si>
  <si>
    <t>2390P014155</t>
  </si>
  <si>
    <t>Índices de capacidade de processos</t>
  </si>
  <si>
    <t>https://youtu.be/fhWRfZA9n50</t>
  </si>
  <si>
    <t>2390P013731</t>
  </si>
  <si>
    <t>Inspeção da qualidade e Capacidade de processos: exemplos de aplicação</t>
  </si>
  <si>
    <t>https://youtu.be/HAW1cztNtgo</t>
  </si>
  <si>
    <t>2390P013732</t>
  </si>
  <si>
    <t>Gestão da Qualidade: evolução dos conceitos</t>
  </si>
  <si>
    <t>https://youtu.be/MUwb57TbON0</t>
  </si>
  <si>
    <t>2390P014306</t>
  </si>
  <si>
    <t>Normas referente à Gestão da Qualidade</t>
  </si>
  <si>
    <t>https://youtu.be/ua5kjS5D3Aw</t>
  </si>
  <si>
    <t>2390P013734</t>
  </si>
  <si>
    <t>Melhoria Continua e Certificações</t>
  </si>
  <si>
    <t>https://youtu.be/kZh2T6cmKnc</t>
  </si>
  <si>
    <t>2390P013735</t>
  </si>
  <si>
    <t>Ferramentas da qualidade - Parte I</t>
  </si>
  <si>
    <t>https://youtu.be/Sp2W085rrVE</t>
  </si>
  <si>
    <t>2390P013736</t>
  </si>
  <si>
    <t>Ferramentas da qualidade - Parte II</t>
  </si>
  <si>
    <t>https://youtu.be/Nz5h6JumQpY</t>
  </si>
  <si>
    <t>2390P013737</t>
  </si>
  <si>
    <t>PDCA e MASP</t>
  </si>
  <si>
    <t>https://youtu.be/NC067oAuXH4</t>
  </si>
  <si>
    <t>2390P013738</t>
  </si>
  <si>
    <t>Avaliação Educacional e da Aprendizagem</t>
  </si>
  <si>
    <t>Contextualização da avaliação Educacional</t>
  </si>
  <si>
    <t>https://youtu.be/Ov3G1rdD6sw</t>
  </si>
  <si>
    <t>2390P013344</t>
  </si>
  <si>
    <t>Avaliação Institucional Participativa</t>
  </si>
  <si>
    <t>https://youtu.be/Uuaf3yyvsvM</t>
  </si>
  <si>
    <t>-</t>
  </si>
  <si>
    <t>2390P013345</t>
  </si>
  <si>
    <t>Avaliação educacional na educação básica</t>
  </si>
  <si>
    <t>https://youtu.be/0NectYtASvQ</t>
  </si>
  <si>
    <t>2390P013346</t>
  </si>
  <si>
    <t>Avaliação da Aprendizagem</t>
  </si>
  <si>
    <t>https://youtu.be/4gJvmo8oYeg</t>
  </si>
  <si>
    <t>2390P013347</t>
  </si>
  <si>
    <t>Avaliação da Aprendizagem - perspectivas teóricas</t>
  </si>
  <si>
    <t>https://youtu.be/kZH7f_DPQdQ</t>
  </si>
  <si>
    <t>2390P013348</t>
  </si>
  <si>
    <t>Avaliação da Aprendizagem na prática</t>
  </si>
  <si>
    <t>https://youtu.be/pgv6r6XLV3U</t>
  </si>
  <si>
    <t>2390P013349</t>
  </si>
  <si>
    <t>Critérios e instrumentos de avaliação</t>
  </si>
  <si>
    <t>https://youtu.be/nTqA3LWljuk</t>
  </si>
  <si>
    <t>2390P014594</t>
  </si>
  <si>
    <t>Critérios e instrumentos de avaliação II</t>
  </si>
  <si>
    <t>https://youtu.be/V2QRXePhD6Y</t>
  </si>
  <si>
    <t>2390P013351</t>
  </si>
  <si>
    <t>Critérios e instrumentos de avaliação III</t>
  </si>
  <si>
    <t>https://youtu.be/9ocnZKUNGwg</t>
  </si>
  <si>
    <t>2390P013352</t>
  </si>
  <si>
    <t>Do currículo à avaliação ou da avaliação ao currículo</t>
  </si>
  <si>
    <t>https://youtu.be/ruPo-ew3Adg</t>
  </si>
  <si>
    <t>2390P013353</t>
  </si>
  <si>
    <t>A inter-relação entre currículo e avaliação</t>
  </si>
  <si>
    <t>https://youtu.be/aaKDPs8z3jI</t>
  </si>
  <si>
    <t>2390P013354</t>
  </si>
  <si>
    <t>Currículo e avaliação educacional</t>
  </si>
  <si>
    <t>https://youtu.be/iJ3nSeHa4WE</t>
  </si>
  <si>
    <t>2390P013355</t>
  </si>
  <si>
    <t>Políticas Educacionais de Avaliação: objetivos, alcances e impactos na educação.</t>
  </si>
  <si>
    <t>https://youtu.be/4wizslAl4iI</t>
  </si>
  <si>
    <t>2390P013356</t>
  </si>
  <si>
    <t>Políticas Educacionais de Avaliação: usos e abusos ou impactos na educação</t>
  </si>
  <si>
    <t>https://youtu.be/flbwFBvQ6tQ</t>
  </si>
  <si>
    <t>2390P014595</t>
  </si>
  <si>
    <t>Políticas Educacionais de Avaliação - instrumentos e utilização</t>
  </si>
  <si>
    <t>https://youtu.be/ohTmjdZZSsg</t>
  </si>
  <si>
    <t>2390P013358</t>
  </si>
  <si>
    <t>Avaliação em larga escala e responsabilidade social</t>
  </si>
  <si>
    <t>https://youtu.be/gjCZqhjpxWM</t>
  </si>
  <si>
    <t>2390P013359</t>
  </si>
  <si>
    <t>Avaliação em Larga Escala e Responsabilidade Social</t>
  </si>
  <si>
    <t>https://youtu.be/u4zCuKB0opg</t>
  </si>
  <si>
    <t>2390P014596</t>
  </si>
  <si>
    <t>Avaliação e Responsabilidade Social e Participativa</t>
  </si>
  <si>
    <t>https://youtu.be/zftXdpzEnTY</t>
  </si>
  <si>
    <t>2390P014307</t>
  </si>
  <si>
    <t>Aspectos sociais do sucesso e fracasso escolar</t>
  </si>
  <si>
    <t>https://youtu.be/1OvbAuucdl8</t>
  </si>
  <si>
    <t>2390P013362</t>
  </si>
  <si>
    <t>Avaliação Educacional e boas práticas escolares</t>
  </si>
  <si>
    <t>https://youtu.be/1fXHMtQCDFE</t>
  </si>
  <si>
    <t>2390P013363</t>
  </si>
  <si>
    <t>Desafios sociais no contexto educacional</t>
  </si>
  <si>
    <t>https://youtu.be/WA6jOMuJHVs</t>
  </si>
  <si>
    <t>2390P013364</t>
  </si>
  <si>
    <t>https://youtu.be/R48aDQzWH5c</t>
  </si>
  <si>
    <t>2390P013694</t>
  </si>
  <si>
    <t>Por que a Psicologia da Educação é importante para a Pedagogia?</t>
  </si>
  <si>
    <t>Esta videoaula aborda o significado e a importância da Psicologia da Educação para o Curso de Pedagogia. Ela mostra o Triângulo Pedagógico de Houssaye (1988) para apresentar os processos pedagógicos: Formação, Ensino, Aprendizagem; e os sujeitos da prática pedagógica: professor, aluno e conteúdo/conhecimento. O triângulo pedagógico serve para apresentar os modelos educacionais das escolas: Tradicional, Nova e Progressista. 
Para o autor, os modelos educacionais funcionavam com a lógica da ênfase, que possibilita o surgimento do lugar do morto. Na lógica da ênfase, em cada modelo pedagógico, dois elementos são privilegiados enquanto o terceiro elemento fica no lugar do morto. A saber: no modelo da Escola Tradicional, o professor é o centro, o processo de ensino é o centro. O aluno fica no lugar do morto, não participa como sujeito. Na Escola Nova, o centro é o aluno. A aprendizagem é privilegiada. O professor fica no lugar do morto. No modelo Progressista, a relação professor e aluno é privilegiada, ficando o conteúdo no lugar do morto. Ele propõe o equilíbrio desse triângulo pedagógico para que o processo educacional e pedagógico tenha êxito. 
O desafio proposto é o entendimento do processo de aprendizagem/aluno na disciplina Psicologia da Educação, como ocorre a aprendizagem e como o conhecimento é construído pelo aluno, não está deslocada da compreensão da aplicação destas teorias na prática pedagógica: ensino/professor e formação/conteúdo para o desenvolvimento da autonomia dos sujeitos.</t>
  </si>
  <si>
    <t>https://youtu.be/McloGbMI67o</t>
  </si>
  <si>
    <t>2390P013648</t>
  </si>
  <si>
    <t>Diferentes correntes da aprendizagem - Parte I</t>
  </si>
  <si>
    <t>Esta videoaula apresenta um resumo das principais ideias pedagógicas antes do século XVIII, tendo como representantes: Bacon, Locke, Descartes. No século XVIII, temos como representantes: Rousseau e Pestalozzi. No século XIX, são representantes: Hebart e Froebel. A ideia de produzir um retorno ao passado nesta videoaula seguiu a linha do tempo baseada em Racy, autora do texto de material-base, para se conhecer como pensavam e como a influência de cada pensador foi se transformando ao longo do tempo.</t>
  </si>
  <si>
    <t>https://youtu.be/9iDWxLg-ajI</t>
  </si>
  <si>
    <t>2390P013649</t>
  </si>
  <si>
    <t>Diferentes correntes da aprendizagem - Parte II</t>
  </si>
  <si>
    <t xml:space="preserve">Nesta videoaula, apresentamos uma linha do tempo do século XIX, baseada em Racy, autora do segundo texto do material-base, com a intenção de dar visibilidade às diferentes ideias em torno do que se nomeia comumente como Escola Nova, Psicologia e Psicologia Experimental, Tecnicista/Comportamentalista/Behaviorismo, Sociointeracionismo e Humanista. A Escola Nova foi o maior impacto do século XX, deslocando o professor como centro do processo pedagógico, transformando a educação, colocando o aluno como centro da aprendizagem. Aparece a preocupação com o método ativo, a aprendizagem significativa, a construção do conhecimento pelos sujeitos e a influência da cultura. 
Embora os representantes do século XX tenham como ponto comum privilegiar o aluno como centro do processo educacional escolar, essa compreensão guarda diferentes interpretações de explicitar as ideias pedagógicas da aprendizagem. Toda interpretação não é um ponto final, elas sofrem modificações. É uma tarefa permanente dos professores acompanhar a evolução das teorias. Ressalta-se que, entre os representantes do século XX, a partir da Semana 3 iniciaremos o aprofundamento das teorias de Piaget, Vygotsky e Wallon.
</t>
  </si>
  <si>
    <t>https://youtu.be/mIJA3Zrvw8s</t>
  </si>
  <si>
    <t>2390P013650</t>
  </si>
  <si>
    <t>Aprendizagem e desenvolvimento</t>
  </si>
  <si>
    <t>Esta videoaula destaca que os desenvolvimentos físico e psíquico estão na base da formação da personalidade da criança. As características ou traços pessoais da personalidade são influenciados por emoções, motivações, valores, metas e modos de perceber, que, por sua vez, decorrem de fatores biológicos (maturação), grupo social e cultural, e história pessoal, composta pelas relações com a família, sociedade, estímulos e sentimentos. Mostra a possibilidade de compreender como o processo de ensino pode influenciar o desenvolvimento motor, afetivo, cognitivo e social dos estudantes, ao mesmo tempo que aponta que existe um limite constituído pelas dificuldades e pelos distúrbios de aprendizagem apresentados por alguns estudantes. São conceitos que precisam ser apropriados pelo pedagogo, tornando possível a sua observação e interpretação para tomada de decisão de ação pedagógica.</t>
  </si>
  <si>
    <t>https://youtu.be/7vdYvES13FM</t>
  </si>
  <si>
    <t>2390P013651</t>
  </si>
  <si>
    <t>A Linguagem como Desenvolvimento</t>
  </si>
  <si>
    <t xml:space="preserve">Esta videoaula apresenta a relevância do estudo da linguagem no desenvolvimento cognitivo e social dos estudantes. A linguagem promove a comunicação e é compreendida como: linguagem verbal  as palavras, signos  e linguagem não verbal  metáforas, imagens, gestos, símbolos, silêncios , responsáveis pelo desenvolvimento das funções psíquicas superiores da criança que permanecem na vida adulta, ou seja, desenvolve a capacidade do pensamento abstrato, consciência e imaginação, características que são únicas nos seres humanos e significa pensar em objetos ausentes, imaginar eventos nunca vividos, planejar e replanejar ações. A linguagem desenvolve o modo abstrato de pensar, uma vez que aumenta a capacidade de memória, registro de informações, bem como de se relacionar com as pessoas e conhecimento. Considera-se aqui a perspectiva de Bakhtin, Benjamin e Vygotsky no sentido de resgatar a dimensão expressiva da linguagem, em oposição ao processo reducionista da linguagem apenas como veículo de informação. Esses autores consideram que a linguagem promove uma formação estético-ética por meio da arte e da literatura, que desenvolve a sensibilidade. Uma educação distante da arte, dos processos criativos, endurece a maneira de ver o mundo. A linguagem como representação da realidade é construída a partir da cultura de um grupo social, pois é neste contexto que o indivíduo se desenvolve e aprende as formas de organizar, comunicar e expressar de forma criativa a sua relação com o mundo. </t>
  </si>
  <si>
    <t>https://youtu.be/RoZubIEObmA</t>
  </si>
  <si>
    <t>2390P013652</t>
  </si>
  <si>
    <t>Cultura e construção da consciência</t>
  </si>
  <si>
    <t>Esta videoaula mostra a importância da imaginação como linguagem na construção social da consciência na infância a partir da cultura, na perspectiva de Vygotsky, para quem a palavra é o instrumento da consciência. A consciência é a interação da criança com o mundo externo. A construção da consciência é, por um lado, movimento endógeno (interno, subjetivo) e, por outro lado, movimento exógeno (externo, cultural). A interiorização dos conteúdos histórica e culturalmente organizados ocorre por meio da linguagem promovendo a constituição da consciência e da subjetividade. É um processo mediado entre a experiência sensível e a racionalidade, em dois momentos: social e individual. No primeiro momento (social), o sujeito vê pelos olhos de alguém e, no segundo momento (individual), ele faz as suas escolhas na relação com o mundo externo. Ou seja: o contexto cultural exerce uma influência na consciência individual.</t>
  </si>
  <si>
    <t>https://youtu.be/1bcvPKB9mQQ</t>
  </si>
  <si>
    <t>2390P013653</t>
  </si>
  <si>
    <t>Diferentes Abordagens da psicologia do desenvolvimento Piaget e Vygotsky</t>
  </si>
  <si>
    <t>https://youtu.be/nRPT8LTAE9A</t>
  </si>
  <si>
    <t>2390P013654</t>
  </si>
  <si>
    <t>A Concepção de Piaget: o construtivismo no desenvolvimento e aprendizagem</t>
  </si>
  <si>
    <t>Esta videoaula tem como foco compreender como o conhecimento é construído pelo sujeito na perspectiva piagetiana. O processo de compreensão ocorre através de um conflito cognitivo, implica modificação dos esquemas assimiladores, num esforço de acomodação para a apropriação de uma informação antes não assimilável. Na apropriação do objeto e do confronto com resultados obtidos por outras pessoas ocorre o desequilíbrio das hipóteses apropriadas. Apresenta-se também o processo de construção da escrita, na perspectiva de Emília Ferreiro, que para a aquisição da língua escrita a criança levanta hipóteses. Os estágios desse processo são pré-silábico, silábico, silábico-alfabético, alfabético. A implicação do Construtivismo para a prática pedagógica diz respeito à aprendizagem do conteúdo e faz-se através do processo de interação sujeito e objeto (objeto = conhecimento = conteúdo). A interação aluno/objeto ocorre através de estímulos, que o aluno interpreta e transforma em esquemas de assimilação. Os esquemas de assimilação implicam em um processo construtivo e formação de novas estruturas que proporcionam o avanço do conhecimento no processo de apropriação e interiorização. Cabe ao professor provocar desequilíbrios que favoreçam descobertas e proporcionar aos alunos condições de desenvolvimento da autonomia intelectual em dois movimentos de organização da sala de aula: atividade individual e em grupo.</t>
  </si>
  <si>
    <t>https://youtu.be/cdzc6MTVfhk</t>
  </si>
  <si>
    <t>2390P013655</t>
  </si>
  <si>
    <t>O papel da intervenção Pedagógica</t>
  </si>
  <si>
    <t xml:space="preserve">Esta videoaula aborda as implicações das teorias da Psicologia do desenvolvimento à prática Pedagógica destacando o papel da intervenção pedagógica. Essa abordagem da intervenção pedagógica está fundamentada em Vygotsky. Partindo dos planos genéticos do desenvolvimento psicológico que ocorrem por meio da filogênese, ontogênese, sociogênese e microgênese. Cada indivíduo é determinado pela filogênese, ontogênese e sociogênese. Pertencemos à espécie animal, somos os únicos seres de inteligência abstrata, isso é possível pelo desenvolvimento da linguagem e do pensamento, em cada cultura há uma construção histórica dos conceitos. A microgênese diz respeito a cada sujeito ter sua história do saber e não saber. Como cada um aprendeu? A aprendizagem é uma construção singular da vida do sujeito. É o lugar do não determinismo. Aqui que existe a possibilidade da intervenção pedagógica. O professor interfere na zona proximal ou potencial dos alunos. O processo de ensino e aprendizagem, ao considerar os objetivos estabelecidos pela escola a serem alcançados, deve considerar o nível de desenvolvimento real e o nível de desenvolvimento potencial de cada aluno. A apropriação pressupõe gradativa interiorização (internalização) do mundo exterior. A intervenção do professor não diz respeito apenas a uma apropriação de conteúdos, mas a promover a reestruturação das funções psicológicas do sujeito, que permitem seu desenvolvimento intelectual e afetivo e resulta em autonomia na tomada de decisões. </t>
  </si>
  <si>
    <t>https://youtu.be/hTyBL9Kvyvg</t>
  </si>
  <si>
    <t>2390P015420</t>
  </si>
  <si>
    <t>Vygotsky: a Mediação Simbólica </t>
  </si>
  <si>
    <t xml:space="preserve">Nesta videoaula, apresentamos o conceito de mediação simbólica e sua implicação para a prática pedagógica. Vygotsky ajuda-nos a compreender que a nossa relação com o mundo não é direta, mas mediada. A mediação do homem com o mundo é realizada por meio de signos e ferramentas produzidas pelo próprio ser humano. Instrumentos são objetos concretos e signo atua no mundo simbólico, é a representação mental dos objetos concretos, pensar objetos ausentes não é uma capacidade inata, precisa ser aprendida. A aprendizagem possibilita o processo de internalização, que é fundamental no desenvolvimento humano, de qualidades exclusivas do ser humano: linguagem, inteligência abstrata, pensamento que significa a capacidade de criar, inventar, imaginar. O papel do professor de mediação não é apenas ensinar, mas também aprender nessa relação. É possível? </t>
  </si>
  <si>
    <t>https://youtu.be/12fs5D3KghI</t>
  </si>
  <si>
    <t>2390P013657</t>
  </si>
  <si>
    <t>Wallon: a afetividade e a construção do eu na relação educativa </t>
  </si>
  <si>
    <t>Nesta videoaula apresentam-se demandas de competência de comunicação afetiva para a realização da prática educacional, reafirma-se que a afetividade é o núcleo central em Wallon, que está presente na construção do conhecimento e da pessoa. O afetar significa produzir no sujeito emoções de um estado de angústia, ansiedade e, também, de alegria, de serenidade. Em cada etapa do desenvolvimento infantil existe um movimento de predominância, tanto da motricidade quanto da linguagem, ora de um nível afetivo e ora cognitivo. O desenvolvimento implica a construção da pessoa, a formação da personalidade, a consciência de si, a construção do eu, é um movimento entre o afetivo e cognitivo, da infância até a adolescência, da interação do eu com o mundo, entre as pessoas e as coisas. Na interação com objetos, predomina o cognitivo, e com as pessoas, o afetivo. A distinção entre o eu e o outro requer a diferenciação entre o eu corporal e eu psíquico, entre o pensamento sincrético e o categorial, são conceitos que trazem novas demandas para a prática pedagógica.</t>
  </si>
  <si>
    <t>https://youtu.be/tYqcXydJWXI</t>
  </si>
  <si>
    <t>2390P013658</t>
  </si>
  <si>
    <t>Diferentes abordagens da sala de aula: Piaget, Vygotsky e Wallon</t>
  </si>
  <si>
    <t>Esta videoaula apresenta diferentes abordagens em Piaget, Vygotsky e Wallon e como essas teorias podem influenciar as estratégias de ensino e aprendizagem na sala de aula. Não se trata de defender um teórico, o objetivo é conhecer cada um deles para perceber as diferenças epistemológicas e a convergência de suas teorias sobre desenvolvimento humano, pensamento, linguagem e aprendizagem.</t>
  </si>
  <si>
    <t>https://youtu.be/WK8ZrkePvjw</t>
  </si>
  <si>
    <t>2390P013659</t>
  </si>
  <si>
    <t>Jogos e brincadeiras no desenvolvimento infantil e processo educacional</t>
  </si>
  <si>
    <t>https://youtu.be/IWoSPII2LCo</t>
  </si>
  <si>
    <t>2390P013660</t>
  </si>
  <si>
    <t xml:space="preserve">Brinquedo e desenvolvimento </t>
  </si>
  <si>
    <t>Esta videoaula apresenta a importância do jogo de papéis ou faz de conta na aprendizagem da linguagem, da imaginação e da atividade criadora. Destacando que no jogo faz de conta as regras estão implícitas, uma vez que as crianças usam como repertório possibilitado, provavelmente, pelos adultos ou instrumentos que estes oferecem às crianças, dentre outros, tais como televisão, rádio, cinema, computador, celular, viagens, livros. Ou seja, a imaginação da criança é deflagrada pela sua experiência vivida.</t>
  </si>
  <si>
    <t>https://youtu.be/7zbGjvJMeuc</t>
  </si>
  <si>
    <t>2390P013661</t>
  </si>
  <si>
    <t xml:space="preserve">Jogos, Brincadeiras e Prática Pedagógica  </t>
  </si>
  <si>
    <t>Esta videoaula é uma entrevista com a Profª Dra. Ida Carneiro Martins, do Programa de Mestrado e Doutorado em Educação da Universidade Cidade de São Paulo, que aborda a importância da possibilidade de o brinquedo ser incorporado em práticas pedagógicas para promover o aprendizado e desenvolvimento das crianças na Educação Infantil.</t>
  </si>
  <si>
    <t>https://youtu.be/-Z6EYaOh9M4</t>
  </si>
  <si>
    <t>2390P013662</t>
  </si>
  <si>
    <t>Ultilização das tecnologias da informação e comunicação do contexto educacional</t>
  </si>
  <si>
    <t>https://youtu.be/wj1wLDtYeiI</t>
  </si>
  <si>
    <t>2390P013663</t>
  </si>
  <si>
    <t>Uso das tecnologias no contexto da aprendizagem</t>
  </si>
  <si>
    <t>A videoaula aborda a incorporação das tecnologias no processo de ensino e aprendizagem, trazendo para a discussão o fato de que o professor sempre utilizou tecnologia e a mudança sempre ocorreu em seu fazer pedagógico. O fato novo é a velocidade com que as mudanças ocorrem. Sendo a cultura digital uma realidade, busca-se uma reflexão sobre a possibilidade de ampliação da aprendizagem pelo uso das redes sociais. Considerando que a cultura digital possibilita a ampliação de informações e de comunicações, caberá ao professor auxiliar o estudante a agir com responsabilidade nos ambientes virtuais. Como? Como a cultura digital possibilita metodologias de autoria dos estudantes?</t>
  </si>
  <si>
    <t>https://youtu.be/U0S44pzhF_0</t>
  </si>
  <si>
    <t>2390P013664</t>
  </si>
  <si>
    <t>Educação e linguagem hipermídia: desafios e possibilidades</t>
  </si>
  <si>
    <t>Entrevista com a Profª Dra. Lucila Pesce, professora e pesquisadora do Programa de Mestrado e Doutorado em Educação, coordena o Grupo de Pesquisa Linguagem, Educação e Cibercultura, Universidade Federal de São Paulo, campus Guarulhos (LEC/Unifesp). A entrevista apresenta uma reflexão sobre os principais desafios e possibilidades que se apresentam à integração da linguagem hipermídia às práticas educativas, considerando a diferença geracional entre docentes analógicos e estudantes nativos digitais. Ressaltando os principais riscos do crescente uso das TDICs  Tecnologias Digitais da Informação e Comunicação  na educação formal e as implicações para autonomia de cátedra. Se, por um lado, a troca de saberes, vivências e experiências entre professores possibilitada pela cultura digital pode fortalecer a docência em uma perspectiva autoral, por outro, corre-se o risco de essa perspectiva autoral não se apresentar no cotidiano docente, em função do recrudescimento da vigilância, por meio das Secretarias de Educação.</t>
  </si>
  <si>
    <t>https://youtu.be/Vnq84BH8_nE</t>
  </si>
  <si>
    <t>2390P013665</t>
  </si>
  <si>
    <t>Trabalho docente na sala de aula  </t>
  </si>
  <si>
    <t>https://youtu.be/qSq8mVNgbk4</t>
  </si>
  <si>
    <t>2390P013666</t>
  </si>
  <si>
    <t xml:space="preserve">As abordagens construtivistas e sociointeracionista da prática pedagógica: perspectivas complementares? </t>
  </si>
  <si>
    <t>https://youtu.be/4SZf4eQ4YTo</t>
  </si>
  <si>
    <t>2390P014153</t>
  </si>
  <si>
    <t>A Psicanálise em sala de aula</t>
  </si>
  <si>
    <t>https://youtu.be/IuPJk6j0JLw</t>
  </si>
  <si>
    <t>2390P013668</t>
  </si>
  <si>
    <t>https://youtu.be/IuAQUTz_wTg</t>
  </si>
  <si>
    <t>2390P014529</t>
  </si>
  <si>
    <t xml:space="preserve">O que é uma Cidade Inteligente </t>
  </si>
  <si>
    <t>https://youtu.be/D4LFTdym7Oc</t>
  </si>
  <si>
    <t>2390P015132</t>
  </si>
  <si>
    <t>O Papel da Gestão Pública nas Cidades Inteligentes</t>
  </si>
  <si>
    <t>https://youtu.be/9UctkXhcZM8</t>
  </si>
  <si>
    <t>2390P015133</t>
  </si>
  <si>
    <t>Desafios em Aberto nas Cidades Inteligentes</t>
  </si>
  <si>
    <t>https://youtu.be/TXqfsocBNUg</t>
  </si>
  <si>
    <t>2390P015134</t>
  </si>
  <si>
    <t>Dados Abertos: Conceitos Fundamentais e Exemplos de Aplicações</t>
  </si>
  <si>
    <t>https://youtu.be/Lo8GIm9Ley4</t>
  </si>
  <si>
    <t>2390P015135</t>
  </si>
  <si>
    <t>Interoperabilidade em Cidades Inteligentes – Parte 1</t>
  </si>
  <si>
    <t>https://youtu.be/ivTUbwrvB88</t>
  </si>
  <si>
    <t>2390P015136</t>
  </si>
  <si>
    <t>Interoperabilidade em Cidades Inteligentes – Parte 2</t>
  </si>
  <si>
    <t>https://youtu.be/BbXMgBkLK-A</t>
  </si>
  <si>
    <t>2390P015137</t>
  </si>
  <si>
    <t>Introdução ao Conceito de Interdisciplinaridade</t>
  </si>
  <si>
    <t>https://youtu.be/N9thu-48Ck8</t>
  </si>
  <si>
    <t>2390P015138</t>
  </si>
  <si>
    <t>Casos Práticos de Colaboração em Projetos Urbanos</t>
  </si>
  <si>
    <t>https://youtu.be/eJ207ATMsf0</t>
  </si>
  <si>
    <t>2390P015139</t>
  </si>
  <si>
    <t>Estratégias para superar Desafios na Implementação Interdisciplinar</t>
  </si>
  <si>
    <t>https://youtu.be/6l2fCwAeEMQ</t>
  </si>
  <si>
    <t>2390P015140</t>
  </si>
  <si>
    <t>Princípios de Internet das Coisas e suas Aplicações</t>
  </si>
  <si>
    <t>https://youtu.be/IHgSqg6kIew</t>
  </si>
  <si>
    <t>2390P015141</t>
  </si>
  <si>
    <t>BigData: Análise das Características e Importância na Gestão Urbana</t>
  </si>
  <si>
    <t>https://youtu.be/tkyqf8JuIww</t>
  </si>
  <si>
    <t>2390P015142</t>
  </si>
  <si>
    <t>Sistemas Distribuídos: Estratégias para lidar com a Escalabilidade em Ambientes Urbanos</t>
  </si>
  <si>
    <t>https://youtu.be/JrwqwU8ZaPw</t>
  </si>
  <si>
    <t>2390P015143</t>
  </si>
  <si>
    <t>Ferramentas de Gestão e a utilização no gerenciamento de cidades inteligentes</t>
  </si>
  <si>
    <t>https://youtu.be/7FXRwxJFj_E</t>
  </si>
  <si>
    <t>2390P015144</t>
  </si>
  <si>
    <t>Ferramentas Computacionais para o desenvolvimento de soluções para Cidades Inteligentes - Parte 1</t>
  </si>
  <si>
    <t>https://youtu.be/8pPRLC0UWNI</t>
  </si>
  <si>
    <t>2390P015145</t>
  </si>
  <si>
    <t>Ferramentas Computacionais para o desenvolvimento de soluções para Cidades Inteligentes - Parte 2</t>
  </si>
  <si>
    <t>https://youtu.be/60DzT5wx5Gg</t>
  </si>
  <si>
    <t>2390P015146</t>
  </si>
  <si>
    <t>O que é Simulação: Visão geral dos conceitos básicos de simulação</t>
  </si>
  <si>
    <t>https://youtu.be/y7U1rtTaxLU</t>
  </si>
  <si>
    <t>2390P015147</t>
  </si>
  <si>
    <t>Simulação em Larga Escala: Desafios e Benefícios</t>
  </si>
  <si>
    <t>https://youtu.be/UFZRB7X_tkA</t>
  </si>
  <si>
    <t>2390P015148</t>
  </si>
  <si>
    <t>Simulação no Contexto do Planejamento Urbano</t>
  </si>
  <si>
    <t>https://youtu.be/6VLZh7zpQ_w</t>
  </si>
  <si>
    <t>2390P015149</t>
  </si>
  <si>
    <t>Tecnologias em Cidades Inteligentes: sensores</t>
  </si>
  <si>
    <t>https://youtu.be/zbZL69eYsZg</t>
  </si>
  <si>
    <t>2390P015150</t>
  </si>
  <si>
    <t>Tecnologias em Cidades Inteligentes: Computação em Nuvem</t>
  </si>
  <si>
    <t>https://youtu.be/vnXlIimJnVM</t>
  </si>
  <si>
    <t>2390P015151</t>
  </si>
  <si>
    <t>Tecnologias em Cidades Inteligentes: Inteligência Artificial (IA)</t>
  </si>
  <si>
    <t>https://youtu.be/yRZqk-Ua6Zw</t>
  </si>
  <si>
    <t>2390P015152</t>
  </si>
  <si>
    <t>https://youtu.be/4KU7Whs3ZyE</t>
  </si>
  <si>
    <t>2390P014308</t>
  </si>
  <si>
    <t>Introdução à ciência (parte I)</t>
  </si>
  <si>
    <t>https://youtu.be/v4P_zDx62L0</t>
  </si>
  <si>
    <t>2390P014309</t>
  </si>
  <si>
    <t>Introdução à ciência (parte II)</t>
  </si>
  <si>
    <t>https://youtu.be/g-Q8j2aY-iw</t>
  </si>
  <si>
    <t>2390P014601</t>
  </si>
  <si>
    <t>O método científico e o ensino de ciências por investigação</t>
  </si>
  <si>
    <t>https://youtu.be/BlR0ANkVvX0</t>
  </si>
  <si>
    <t>2390P014310</t>
  </si>
  <si>
    <t xml:space="preserve">O desenvolvimento histórico dos estudos 
astronômicos </t>
  </si>
  <si>
    <t>https://youtu.be/FnPBZu_lvp4</t>
  </si>
  <si>
    <t>2390P014311</t>
  </si>
  <si>
    <t>O desenvolvimento histórico dos estudos astronômicos (parte II)/ a astronomia do século XXI</t>
  </si>
  <si>
    <t>https://youtu.be/KPDlU9U7K9g</t>
  </si>
  <si>
    <t>2390P014312</t>
  </si>
  <si>
    <t>A relação entre a ciência e a religião, e sua relação com mudanças de paradigmas científicos</t>
  </si>
  <si>
    <t>https://youtu.be/8uj92HEG9ag</t>
  </si>
  <si>
    <t>2390P014602</t>
  </si>
  <si>
    <t>As quatro perspectivas entre Ciência e Religião</t>
  </si>
  <si>
    <t>https://youtu.be/GZ9QGxY2sqc</t>
  </si>
  <si>
    <t>2390P014603</t>
  </si>
  <si>
    <t xml:space="preserve">O desenvolvimento da Ciências da Terra e os processos tectônicos </t>
  </si>
  <si>
    <t>https://youtu.be/eH_6jkGvZKQ</t>
  </si>
  <si>
    <t>2390P014044</t>
  </si>
  <si>
    <t>A geologia e o meio ambiente</t>
  </si>
  <si>
    <t>https://youtu.be/wY6BgOn5rP4</t>
  </si>
  <si>
    <t>2390P014045</t>
  </si>
  <si>
    <t>O efeito estufa e as mudanças climáticas:  Parte I  - Problemas ambientais do século XXI e a relação com a Ciência e sociedade</t>
  </si>
  <si>
    <t>https://youtu.be/VDueqEGF09Y</t>
  </si>
  <si>
    <t>2390P014046</t>
  </si>
  <si>
    <t xml:space="preserve">Os recursos hídricos: Parte II - Problemas ambientais do século XXI e a relação com a Ciência e sociedade </t>
  </si>
  <si>
    <t>https://youtu.be/PLQCk6AbC_0</t>
  </si>
  <si>
    <t>2390P014604</t>
  </si>
  <si>
    <t>O problema do lixo: Parte III - Problemas ambientais do século XXI e a relação com a Ciência e sociedade</t>
  </si>
  <si>
    <t>https://youtu.be/9Lu-iAlWs4Q</t>
  </si>
  <si>
    <t>2390P014048</t>
  </si>
  <si>
    <t>O desenvolvimento da Biologia Molecular e a compreensão da vida</t>
  </si>
  <si>
    <t>https://youtu.be/vU3qKI6-jhw</t>
  </si>
  <si>
    <t>2390P014049</t>
  </si>
  <si>
    <t>Biotecnologia e Bioética</t>
  </si>
  <si>
    <t>https://youtu.be/wzZGAZ7Zv40</t>
  </si>
  <si>
    <t>2390P014050</t>
  </si>
  <si>
    <t>A leitura crítica de obras científicas</t>
  </si>
  <si>
    <t>https://youtu.be/1F44bW2j6wI</t>
  </si>
  <si>
    <t>2390P014605</t>
  </si>
  <si>
    <t>A comunicação científica</t>
  </si>
  <si>
    <t>https://youtu.be/bODgK7Cs5og</t>
  </si>
  <si>
    <t>2390P014052</t>
  </si>
  <si>
    <t>vai gravar</t>
  </si>
  <si>
    <t>https://youtu.be/jz16A0Hq0JM</t>
  </si>
  <si>
    <t>2390P014630</t>
  </si>
  <si>
    <t>Nesta videoaula, o professor Antonio Francisco Savi faz uma breve explanação sobre o que a Univesp espera como resultado do Projeto Integrador.</t>
  </si>
  <si>
    <t>https://youtu.be/WS1WfwfoiT4</t>
  </si>
  <si>
    <t>2390P014631</t>
  </si>
  <si>
    <t>Concepção do projeto</t>
  </si>
  <si>
    <t>Esta videoaula do professor Antonio Francisco Savi apresenta o conceito de processo de negócio e destaca a importância de mapear os processos.</t>
  </si>
  <si>
    <t>https://youtu.be/iiZTKq_eZSI</t>
  </si>
  <si>
    <t>2390P014632</t>
  </si>
  <si>
    <t>Por que mapear processo?</t>
  </si>
  <si>
    <t>O professor Antonio Francisco Savi, nesta videoaula, apresenta as razões para o mapeamento de processos, iniciando por se conhecer os processos atuais, passando por identificar oportunidades, criar e implantar soluções em vista de um aperfeiçoamento contínuo.</t>
  </si>
  <si>
    <t>https://youtu.be/YAY1qttcGa4</t>
  </si>
  <si>
    <t>2390P014633</t>
  </si>
  <si>
    <t>Lean Production</t>
  </si>
  <si>
    <t>Nesta videoaula, o professor Antonio Francisco Savi apresenta os conceitos e métodos de produção enxuta (lean production) e de mapeamento de processos.</t>
  </si>
  <si>
    <t>https://youtu.be/8c65xWDkBwo</t>
  </si>
  <si>
    <t>2390P014634</t>
  </si>
  <si>
    <t>Melhores práticas e exemplos de modelagem</t>
  </si>
  <si>
    <t>Nesta videoaula, o professor Antonio Francisco Savi aborda o conceito de melhores práticas, partindo da apresentação do software BPM (business process modeling) Aris.</t>
  </si>
  <si>
    <t>https://youtu.be/MrVPbrgdK7E</t>
  </si>
  <si>
    <t>2390P014635</t>
  </si>
  <si>
    <t>“Ferramentas e métodos para a confecção do protótipo” é o tema desta videoaula do professor Antonio Francisco Savi. A partir de uma primeira conceituação, são apresentados os principais tipos de protótipo e, em seguida, a aplicação do protótipo no tema do Projeto Integrador.</t>
  </si>
  <si>
    <t>https://youtu.be/qXrxaTkFkEY</t>
  </si>
  <si>
    <t>2390P014636</t>
  </si>
  <si>
    <t>O professor Antonio Francisco Savi, nesta videoaula, iniciando dizendo que o processo de melhoria da solução deve ocorrer durante todo o seu desenvolvimento. Em seguida fala os pontos principais do que devem ser levados em conta na melhoria de processo e compara o ciclo PDCA e o ciclo SDCA.</t>
  </si>
  <si>
    <t>https://youtu.be/ySlWGLRIi5o</t>
  </si>
  <si>
    <t>2390P014637</t>
  </si>
  <si>
    <t>https://youtu.be/HEw2qui9gXc</t>
  </si>
  <si>
    <t>2390P014599</t>
  </si>
  <si>
    <t>Aprendizagem individual e coletiva</t>
  </si>
  <si>
    <t>https://youtu.be/14SKIsLb76k</t>
  </si>
  <si>
    <t>2390P014289</t>
  </si>
  <si>
    <t>Conceitos importantes da gestão estratégica do conhecimento</t>
  </si>
  <si>
    <t>https://youtu.be/pNES9zvBU7I</t>
  </si>
  <si>
    <t>2390P014290</t>
  </si>
  <si>
    <t>COST 2</t>
  </si>
  <si>
    <t>Costurando semana 02</t>
  </si>
  <si>
    <t>https://youtu.be/b-RvjhaSSt8</t>
  </si>
  <si>
    <t>2390P014446</t>
  </si>
  <si>
    <t>Importância da aprendizagem organizacional em tempos turbulentos</t>
  </si>
  <si>
    <t>https://youtu.be/tt-04GP1wSQ</t>
  </si>
  <si>
    <t>2390P014291</t>
  </si>
  <si>
    <t>Introdução ao planejamento estratégico</t>
  </si>
  <si>
    <t>https://youtu.be/McEOJaSOZSM</t>
  </si>
  <si>
    <t>2390P014292</t>
  </si>
  <si>
    <t>Ciclos de aprendizagem e desenvolvimento de competências</t>
  </si>
  <si>
    <t>https://youtu.be/xG2Bz8EiXxE</t>
  </si>
  <si>
    <t>2390P014293</t>
  </si>
  <si>
    <t>O que é ESG?</t>
  </si>
  <si>
    <t>https://youtu.be/sdeZJWto9vE</t>
  </si>
  <si>
    <t>2390P014294</t>
  </si>
  <si>
    <t>Barreiras e facilitadores ao processo de aprendizagem</t>
  </si>
  <si>
    <t>https://youtu.be/742YloFnKTs</t>
  </si>
  <si>
    <t>2390P014295</t>
  </si>
  <si>
    <t>Como criar um ambiente de trabalho favorável à aprendizagem organizacional</t>
  </si>
  <si>
    <t>https://youtu.be/gEOed_94evQ</t>
  </si>
  <si>
    <t>2390P014296</t>
  </si>
  <si>
    <t>As organizações do conhecimento</t>
  </si>
  <si>
    <t>https://youtu.be/LYtxzC7NAP4</t>
  </si>
  <si>
    <t>2390P014297</t>
  </si>
  <si>
    <t>Papel do conhecimento e da aprendizagem nos resultados organizacionais</t>
  </si>
  <si>
    <t>https://youtu.be/VOwkuc1B5Oc</t>
  </si>
  <si>
    <t>2390P014298</t>
  </si>
  <si>
    <t>Modelo de Conversão do Conhecimento de Nonaka</t>
  </si>
  <si>
    <t>https://youtu.be/q60R3wq810o</t>
  </si>
  <si>
    <t>2390P014299</t>
  </si>
  <si>
    <t>COST 6</t>
  </si>
  <si>
    <t>Costurando semana 06</t>
  </si>
  <si>
    <t>https://youtu.be/ma0tMzhJngo</t>
  </si>
  <si>
    <t>2390P014447</t>
  </si>
  <si>
    <t>Desenvolvendo a cultura da Gestão do Conhecimento para promoção da inovação</t>
  </si>
  <si>
    <t>https://youtu.be/ca5XlOV1KkQ</t>
  </si>
  <si>
    <t>2390P014300</t>
  </si>
  <si>
    <t>Condições organizacionais para implementação da Gestão do Conhecimento e Capacidade Absortiva</t>
  </si>
  <si>
    <t>https://youtu.be/kia27Njrbmw</t>
  </si>
  <si>
    <t>2390P014301</t>
  </si>
  <si>
    <t>Papel da análise interna para construção da Gestão do Conhecimento</t>
  </si>
  <si>
    <t>https://youtu.be/IaAu6nYZb1k</t>
  </si>
  <si>
    <t>2390P014302</t>
  </si>
  <si>
    <t>Ferramentas de Tecnologia da Informação para a Gestão do Conhecimento</t>
  </si>
  <si>
    <t>https://youtu.be/xoZ5Coec5xg</t>
  </si>
  <si>
    <t>2390P014303</t>
  </si>
  <si>
    <t>Lições aprendidas integrando tecnologia e base de conhecimento</t>
  </si>
  <si>
    <t>https://youtu.be/Fe7CzNrZ2hU</t>
  </si>
  <si>
    <t>2390P014304</t>
  </si>
  <si>
    <t>Utilizando os sistemas de CRM para desenvolver inovação e capacidade de marketing</t>
  </si>
  <si>
    <t>https://youtu.be/puqWl6jIUy0</t>
  </si>
  <si>
    <t>2390P014305</t>
  </si>
  <si>
    <t xml:space="preserve">COST 8 </t>
  </si>
  <si>
    <t xml:space="preserve">Costurando semana 08 </t>
  </si>
  <si>
    <t>https://youtu.be/4ivdEG7bkjI</t>
  </si>
  <si>
    <t>2390P014448</t>
  </si>
  <si>
    <t>https://youtu.be/KGAikxKur_M</t>
  </si>
  <si>
    <t>2390P013963</t>
  </si>
  <si>
    <t>Introdução à disciplina de Estratégias Financeiras</t>
  </si>
  <si>
    <t>https://youtu.be/PHArkxHYmu0</t>
  </si>
  <si>
    <t>2390P013964</t>
  </si>
  <si>
    <t xml:space="preserve">Gestão financeira: objetivos e conceitos básicos </t>
  </si>
  <si>
    <t>https://youtu.be/95skfr3pIoI</t>
  </si>
  <si>
    <t>2390P013965</t>
  </si>
  <si>
    <t>Tomada de decisões financeiras</t>
  </si>
  <si>
    <t>https://youtu.be/BSaH7pdN5ck</t>
  </si>
  <si>
    <t>2390P013966</t>
  </si>
  <si>
    <t>Demonstrações financeiras: análise vertical e horizontal</t>
  </si>
  <si>
    <t>https://youtu.be/gipINq3jEDU</t>
  </si>
  <si>
    <t>2390P013967</t>
  </si>
  <si>
    <t>Métricas financeiras: indicadores de liquidez, rentabilidade e endividamento</t>
  </si>
  <si>
    <t>https://youtu.be/FHODlkPUbDs</t>
  </si>
  <si>
    <t>2390P013968</t>
  </si>
  <si>
    <t>Métricas financeiras na prática: calculando os indicadores</t>
  </si>
  <si>
    <t>https://youtu.be/C-zvhpnxFUU</t>
  </si>
  <si>
    <t>2390P013969</t>
  </si>
  <si>
    <t>Componentes do capital de giro da empresa</t>
  </si>
  <si>
    <t>https://youtu.be/EGU4zjK8Eu8</t>
  </si>
  <si>
    <t>2390P013970</t>
  </si>
  <si>
    <t>Estratégias para gerenciar capital de giro: otimização do ciclo de caixa</t>
  </si>
  <si>
    <t>https://youtu.be/l8IgDrpuY7U</t>
  </si>
  <si>
    <t>2390P013971</t>
  </si>
  <si>
    <t>Estratégias para gerenciar capital de giro: gestão de estoques</t>
  </si>
  <si>
    <t>https://youtu.be/UCGXsP10rBw</t>
  </si>
  <si>
    <t>2390P013972</t>
  </si>
  <si>
    <t>Tipos de riscos financeiros</t>
  </si>
  <si>
    <t>https://youtu.be/8nKxxUqPmVY</t>
  </si>
  <si>
    <t>2390P013973</t>
  </si>
  <si>
    <t>Técnicas de mensuração e avaliação de riscos financeiros</t>
  </si>
  <si>
    <t>https://youtu.be/u-RxxfnEIQ8</t>
  </si>
  <si>
    <t>2390P013974</t>
  </si>
  <si>
    <t>Técnicas de mensuração e avaliação de riscos financeirosna prática: calculando os indicadores</t>
  </si>
  <si>
    <t>https://youtu.be/sKSXLm4Qfrg</t>
  </si>
  <si>
    <t>2390P013975</t>
  </si>
  <si>
    <t>Criação de valor na organização: o papel das decisões financeiras</t>
  </si>
  <si>
    <t>https://youtu.be/Qqo8ZlHuUu8</t>
  </si>
  <si>
    <t>2390P013976</t>
  </si>
  <si>
    <t>ESG: Sustentabilidade e responsabilidade social na gestão financeira</t>
  </si>
  <si>
    <t>https://youtu.be/QQ6HcLQOPeI</t>
  </si>
  <si>
    <t>2390P013977</t>
  </si>
  <si>
    <t>Gestão financeira na geração de valor para a empresa: entrevista com Lucy Sousa</t>
  </si>
  <si>
    <t>https://youtu.be/_CVq9ScSKmU</t>
  </si>
  <si>
    <t>2390P015449</t>
  </si>
  <si>
    <t>Globalização dos mercados e estratégias de internacionalização</t>
  </si>
  <si>
    <t>https://youtu.be/1SS-xm0GoM0</t>
  </si>
  <si>
    <t>2390P013979</t>
  </si>
  <si>
    <t>Avaliação de oportunidades no mercado global</t>
  </si>
  <si>
    <t>https://youtu.be/lSqkzlgBBCU</t>
  </si>
  <si>
    <t>2390P013980</t>
  </si>
  <si>
    <t>Comércio internacional e as decisões de negócios das empresas: entrevista com Miguel Juan Bacic</t>
  </si>
  <si>
    <t>https://youtu.be/OqY0qfIEme8</t>
  </si>
  <si>
    <t>2390P013981</t>
  </si>
  <si>
    <t>Exportação e importação de bens e serviços: procedimentos e requisitos</t>
  </si>
  <si>
    <t>https://youtu.be/8YhRy_E6rvE</t>
  </si>
  <si>
    <t>2390P013982</t>
  </si>
  <si>
    <t>Comércio internacional e questões legais, logísticas e aduaneiras</t>
  </si>
  <si>
    <t>https://youtu.be/cK1c2BgzBHk</t>
  </si>
  <si>
    <t>2390P013983</t>
  </si>
  <si>
    <t>Identificando oportunidades de negócios no mercado global: fatores econômicos, políticos e culturais</t>
  </si>
  <si>
    <t>https://youtu.be/rViOFIF97V0</t>
  </si>
  <si>
    <t>2390P013984</t>
  </si>
  <si>
    <t>https://youtu.be/6LiDcv6o6xI</t>
  </si>
  <si>
    <t>2390P015343</t>
  </si>
  <si>
    <t>O que é um projeto? Conhecendo conceitos básicos</t>
  </si>
  <si>
    <t>Esta videoaula inicia sua jornada no mundo da gestão de projetos. A videoaula explora o que constitui um projeto, suas características essenciais e como ele se diferencia de processos, programas e portfólios. Além disso, você aprenderá a identificar e aplicar critérios de sucesso em projetos, uma habilidade crucial para avaliar o progresso e os resultados de qualquer empreendimento. Ademais, discutiremos os diferentes tipos de projetos, ajudando você a reconhecê-los e distingui-los com base em suas características específicas. Finalmente, refletiremos sobre a importância de compreender esses conceitos básicos para uma gestão eficaz de projetos no futuro. Esta compreensão é fundamental para qualquer profissional que deseja se destacar na área de gestão de projetos, garantindo que cada etapa do trabalho seja executada com precisão e sucesso.</t>
  </si>
  <si>
    <t>https://youtu.be/cvZd1ZzbsxU</t>
  </si>
  <si>
    <t>2390P015344</t>
  </si>
  <si>
    <t>Gestão do projeto: conhecendo o ciclo de vida e as fases de um projeto</t>
  </si>
  <si>
    <t xml:space="preserve">Nesta videoaula, vamos conhecer com detalhes o ciclo de vida de um projeto e explorar suas fases distintas. Assim, você terá uma compreensão conceitual de cada etapa do ciclo de vida de um projeto e sua importância na gestão de projetos. Entender as etapas do ciclo de vida do projeto é essencial para a gestão eficaz de projetos, pois cada uma possui suas próprias atividades, objetivos e entregas específicas. Nesta videoaula, você também aprenderá sobre as atividades e entregas específicas de cada fase do projeto.  </t>
  </si>
  <si>
    <t>https://youtu.be/7Dff1pNo7Fw</t>
  </si>
  <si>
    <t>2390P015345</t>
  </si>
  <si>
    <t>Desvendando os papéis-chave e o plano de projeto</t>
  </si>
  <si>
    <r>
      <t>Nesta videoaula, você aprenderá sobre as responsabilidades e influências das partes interessadas (</t>
    </r>
    <r>
      <rPr>
        <i/>
        <sz val="12"/>
        <color rgb="FF000000"/>
        <rFont val="Calibri"/>
        <charset val="1"/>
      </rPr>
      <t>stakeholders</t>
    </r>
    <r>
      <rPr>
        <sz val="12"/>
        <color rgb="FF000000"/>
        <rFont val="Calibri"/>
        <charset val="1"/>
      </rPr>
      <t xml:space="preserve">) em um projeto e aprenderá a identificar esses </t>
    </r>
    <r>
      <rPr>
        <i/>
        <sz val="12"/>
        <color rgb="FF000000"/>
        <rFont val="Calibri"/>
        <charset val="1"/>
      </rPr>
      <t>stakeholders</t>
    </r>
    <r>
      <rPr>
        <sz val="12"/>
        <color rgb="FF000000"/>
        <rFont val="Calibri"/>
        <charset val="1"/>
      </rPr>
      <t xml:space="preserve"> e suas responsabilidades, algo crucial para a gestão eficaz de projetos. Além disso, você aprenderá a elaborar um plano de projeto, definindo objetivos, escopo, recursos e cronograma.  Por fim, esta videoaula mostrará como avaliar a eficácia e a viabilidade de um plano de projeto.  </t>
    </r>
  </si>
  <si>
    <t>https://youtu.be/ZFOG0WplJUQ</t>
  </si>
  <si>
    <t>2390P015346</t>
  </si>
  <si>
    <t>COST - 1</t>
  </si>
  <si>
    <t>https://youtu.be/13Um86zVDnc</t>
  </si>
  <si>
    <t>2390P015387</t>
  </si>
  <si>
    <t>Escopo de projeto, iniciação e termo de abertura</t>
  </si>
  <si>
    <t xml:space="preserve">Esta videoaula oferece uma compreensão abrangente dos princípios básicos da gestão de escopo de projetos. Assim, você aprenderá a importância de definir objetivos e requisitos do projeto de forma precisa. Além disso, a videoaula aborda os processos essenciais para iniciar um projeto de maneira eficaz, incluindo a elaboração do termo de abertura do projeto. Ademais, esta videoaula mostrará técnicas para identificar entregas e limites do projeto desde o início, o que facilita o alinhamento entre escopo do projeto e as expectativas do cliente. Por fim, você aprenderá a elaborar termos de abertura claros e eficazes, estabelecendo uma base sólida para o sucesso do projeto.  </t>
  </si>
  <si>
    <t>https://youtu.be/5I71D3_G3-M</t>
  </si>
  <si>
    <t>2390P015347</t>
  </si>
  <si>
    <t>Definição do escopo do projeto e controle de requisitos</t>
  </si>
  <si>
    <t xml:space="preserve">Esta videoaula tem por objetivo capacitá-lo(a) em processos essenciais da gestão de escopo em projetos. Assim, você aprenderá a definir o escopo do projeto de forma precisa e abrangente, incluindo a identificação e documentação dos requisitos essenciais. Além disso, a videoaula aprimorará sua habilidade de controlar os requisitos do projeto ao longo de todo o ciclo de vida, garantindo o alinhamento com as necessidades dos stakeholders. Serão apresentadas técnicas para o controle de mudanças no escopo do projeto e conceitos fundamentais de gestão de escopo e controle de requisitos.  </t>
  </si>
  <si>
    <t>https://youtu.be/ydWxUvEIldc</t>
  </si>
  <si>
    <t>2390P015348</t>
  </si>
  <si>
    <t>WBS - Work Breakdown Structure</t>
  </si>
  <si>
    <r>
      <t xml:space="preserve">Esta videoaula vai ajudará você a compreender os princípios e conceitos essenciais do </t>
    </r>
    <r>
      <rPr>
        <i/>
        <sz val="12"/>
        <color rgb="FF000000"/>
        <rFont val="Calibri"/>
        <charset val="1"/>
      </rPr>
      <t>work breakdown structure</t>
    </r>
    <r>
      <rPr>
        <sz val="12"/>
        <color rgb="FF000000"/>
        <rFont val="Calibri"/>
        <charset val="1"/>
      </rPr>
      <t xml:space="preserve"> (WBS), ou estrutura analítica do projeto (EAP), reconhecendo sua relevância na gestão de projetos. Com esta videoaula, você aprenderá a criar uma EAP através da exploração de processos e técnicas para decompor entregas e organizar hierarquicamente as atividades do projeto. Você também explorará diversas possibilidades de aplicação da EAP em diferentes tipos de projetos e contextos organizacionais, capacitando-se a adaptar essa técnica às necessidades específicas de seus projetos. Finalmente, a videoaula capacitará você para aplicar habilidades de análise ao explicar a importância da matriz RACI (responsável, aprovado, consultado e informado) na atribuição de responsabilidades e tomada de decisões.</t>
    </r>
  </si>
  <si>
    <t>https://youtu.be/xjc996cWTpg</t>
  </si>
  <si>
    <t>2390P015349</t>
  </si>
  <si>
    <t>Controle de projetos e boas práticas da gestão</t>
  </si>
  <si>
    <t xml:space="preserve">Esta videoaula visa ensinar você a aplicar técnicas de planejamento, organização e acompanhamento das atividades do projeto. Assim, você conhecerá e poderá aplicar as boas práticas em gestão de projetos, incluindo estratégias de controle e otimização de processos. Além disso, conhecerá diferentes abordagens da gestão de projetos para aumentar a eficiência e qualidade em seus projetos.  
A videoaula também mostrará opções de certificação para profissionalização em gestão de projetos, permitindo-lhe conhecer alternativas para avançar em sua carreira.  </t>
  </si>
  <si>
    <t>https://youtu.be/OARPou1b_OY</t>
  </si>
  <si>
    <t>2390P015350</t>
  </si>
  <si>
    <t>Sistemas de indicadores de desempenho em gestão de projetos</t>
  </si>
  <si>
    <t>Esta videoaula vai ajudar você a reconhecer a importância dos indicadores e KPIs de desempenho em projetos para monitorar e avaliar o progresso de projetos. Além disso, você conhecerá técnicas e melhores práticas para a definição, implementação e análise de indicadores de desempenho em projetos.</t>
  </si>
  <si>
    <t>https://youtu.be/oJZY3ZU0wUY</t>
  </si>
  <si>
    <t>2390P015351</t>
  </si>
  <si>
    <t>Diferentes abordagens e padrões de gestão de projetos e o desenvolvimento de competências</t>
  </si>
  <si>
    <r>
      <t xml:space="preserve">Com esta videoaula, você conhecerá as diferentes certificações profissionais em gestão de projetos disponíveis e reconhecerá sua importância no desenvolvimento das competências dos profissionais em gestão de projetos. Além disso, essa videoaula capacitará você a identificar a certificação mais adequada e o </t>
    </r>
    <r>
      <rPr>
        <i/>
        <sz val="12"/>
        <color rgb="FF000000"/>
        <rFont val="Calibri"/>
        <charset val="1"/>
      </rPr>
      <t xml:space="preserve">framework </t>
    </r>
    <r>
      <rPr>
        <sz val="12"/>
        <color rgb="FF000000"/>
        <rFont val="Calibri"/>
        <charset val="1"/>
      </rPr>
      <t>mais relevante para atender às necessidades de um projeto específico. Por fim, promoverá o desenvolvimento contínuo de suas competências, incentivando você a explorar estratégias e oportunidades para aprimorar suas habilidades profissionais ao longo de sua carreira. </t>
    </r>
  </si>
  <si>
    <t>https://youtu.be/Yla5D9HkgAU</t>
  </si>
  <si>
    <t>2390P015352</t>
  </si>
  <si>
    <t>Estratégia e governança em projetos</t>
  </si>
  <si>
    <t>Esta videoaula apresentará conceitos sobre o papel da estratégia organizacional no contexto de projetos. Assim, você entenderá a importância da governança em projetos para garantir o alinhamento com os objetivos estratégicos da organização. Além disso, compreenderá as influências organizacionais em projetos, abrangendo aspectos como cultura, sistemas e ambiente de negócios. Por fim, você será capacitado(a) a integrar conceitos de estratégia, governança e influências organizacionais para melhorar a gestão de projetos em um contexto empresarial. </t>
  </si>
  <si>
    <t>https://youtu.be/U-GGObmTa6A</t>
  </si>
  <si>
    <t>2390P015391</t>
  </si>
  <si>
    <t>Estruturas organinizacionais e gestão de projetos</t>
  </si>
  <si>
    <t>Esta videoaula ajudará você a compreender a influência das estruturas organizacionais no desempenho e resultado de projetos. Com essa videoaula, aprenderá a identificar os diferentes tipos de estruturas organizacionais e seu impacto na gestão de projetos. Além disso, você aprenderá a adaptar as práticas de gestão de projetos de acordo com a estrutura organizacional específica de uma empresa.  </t>
  </si>
  <si>
    <t>https://youtu.be/xaKUkUGJ2cU</t>
  </si>
  <si>
    <t>2390P015392</t>
  </si>
  <si>
    <t>Gestão de portfólio e gestão de integração</t>
  </si>
  <si>
    <t>Esta videoaula vai capacitar você a compreender a importância da gestão de portfólio na maximização do desempenho e resultados dos projetos. Para isso, apresentará diferentes abordagens de gestão de portfólio e suas aplicações práticas. Além disso, você compreenderá as especificidades da gestão de portfólio e gestão de integração de projetos e a relação entre esses processos. </t>
  </si>
  <si>
    <t>https://youtu.be/DkrL5fh7hcM</t>
  </si>
  <si>
    <t>2390P015393</t>
  </si>
  <si>
    <t>COST - 4</t>
  </si>
  <si>
    <t>https://youtu.be/FuPOibVdnLc</t>
  </si>
  <si>
    <t>2390P015388</t>
  </si>
  <si>
    <t>Cronograma do projeto, definição e sequenciamento das atividades do projeto</t>
  </si>
  <si>
    <t>Esta videoaula vai capacitar você a compreender princípios e técnicas de criação de cronogramas de projeto, incluindo a definição clara das atividades e sua sequenciação. Nesta videoaula, você desenvolverá a habilidade de identificar e listar as atividades necessárias para alcançar os objetivos do projeto. Além disso, a videoaula permitirá que você pratique técnicas de sequenciamento de atividades, ajudando a determinar a ordem lógica em que as tarefas devem ser realizadas. </t>
  </si>
  <si>
    <t>https://youtu.be/mE9cTnextyQ</t>
  </si>
  <si>
    <t>2390P015356</t>
  </si>
  <si>
    <t>Métodos para desenvolvimento de cronograma: análise de diagrama de rede</t>
  </si>
  <si>
    <t xml:space="preserve">Esta videoaula vai explorar ferramentas e métodos para criar cronogramas de projeto eficazes, capacitando você a desenvolver cronogramas realistas e viáveis. Para isso, nesta videoaula, você compreenderá os métodos de desenvolvimento de cronograma, com foco na análise de diagrama de rede. Além disso, a videoaula vai ajudá-lo(a) a interpretar e utilizar diagramas de rede, como o diagrama de precedência (DP) e o diagrama de setas (DS), para representar sequências de atividades e os relacionamentos entre elas. Você também terá a oportunidade de praticar a elaboração de diagramas de rede, aplicando técnicas de identificação de dependências e determinação de caminhos críticos. </t>
  </si>
  <si>
    <t>https://youtu.be/ACm3X4RCJwA</t>
  </si>
  <si>
    <t>2390P015394</t>
  </si>
  <si>
    <t>Métodos para desenvolvimento de cronograma: PERT e caminho crítico (CPM)</t>
  </si>
  <si>
    <r>
      <t>Esta videoaula vai ajudar você a compreender os métodos de desenvolvimento de cronograma, com ênfase no PERT (“</t>
    </r>
    <r>
      <rPr>
        <i/>
        <sz val="12"/>
        <color rgb="FF000000"/>
        <rFont val="Calibri"/>
        <charset val="1"/>
      </rPr>
      <t>program evaluation and review technique”</t>
    </r>
    <r>
      <rPr>
        <sz val="12"/>
        <color rgb="FF000000"/>
        <rFont val="Calibri"/>
        <charset val="1"/>
      </rPr>
      <t>, em português “técnica de avaliação e revisão de programas”) e análise do caminho crítico. Além disso, a videoaula permitirá que você conheça e pratique estes métodos de grande utilidade na identificação e priorização das atividades que afetam diretamente o prazo de conclusão do projeto a fim de garantir o cumprimento dos prazos estabelecidos.</t>
    </r>
    <r>
      <rPr>
        <sz val="12"/>
        <color rgb="FF000000"/>
        <rFont val="WordVisiCarriageReturn_MSFontSe"/>
        <charset val="1"/>
      </rPr>
      <t> </t>
    </r>
  </si>
  <si>
    <t>https://youtu.be/VR71qKf1dwc</t>
  </si>
  <si>
    <t>2390P019435</t>
  </si>
  <si>
    <t>Gestão da qualidade em projetos</t>
  </si>
  <si>
    <t>Com esta videoaula, você compreenderá os princípios fundamentais da gestão da qualidade em projetos, fortalecendo sua capacidade de garantir a excelência nos resultados. Assim, você verá ferramentas de qualidade, como PDCA, Pareto e Ishikawa, ferramentas úteis para identificação e resolução de problemas de qualidade. Além disso, aprenderá sobre os processos de controle de qualidade e seu impacto ao longo do ciclo de vida do projeto. </t>
  </si>
  <si>
    <t>https://youtu.be/k7WxLLHUAw4</t>
  </si>
  <si>
    <t>2390P015359</t>
  </si>
  <si>
    <t>Gestão de aquisições e contratações em projetos</t>
  </si>
  <si>
    <t xml:space="preserve">Esta videoaula vai ajudar você a compreender os processos de gestão das aquisições e contratações em projetos, fortalecendo sua capacidade de obter bens e serviços necessários de forma eficaz. Nesta videoaula, você conhecerá práticas de seleção de fornecedores, negociação de contratos e gestão do relacionamento com fornecedores, capacitando-se a gerenciar eficientemente as aquisições do projeto. Além disso, com esta videoaula você aprenderá sobre avaliação e mitigação de riscos associados às aquisições para garantir o cumprimento dos requisitos do projeto. </t>
  </si>
  <si>
    <t>https://youtu.be/h_LqLp8MUAY</t>
  </si>
  <si>
    <t>2390P015360</t>
  </si>
  <si>
    <t>Gestão dos custos do projeto</t>
  </si>
  <si>
    <t xml:space="preserve">Esta videoaula vai capacitar você a compreender os processos de gestão dos custos em projetos, fortalecendo sua capacidade de planejar e controlar eficazmente os recursos financeiros. Para isso, apresentará técnicas e ferramentas adequadas para monitoramento e controle dos custos de um projeto e para identificação de desvios a fim de evitar que o projeto exceda o orçamento estabelecido. </t>
  </si>
  <si>
    <t>https://youtu.be/R8J4iTn3f08</t>
  </si>
  <si>
    <t>2390P015361</t>
  </si>
  <si>
    <t>Gestão das comunicações do projeto</t>
  </si>
  <si>
    <t>Esta videoaula vai ajudar você a compreender os princípios fundamentais da comunicação organizacional e sua aplicação em projetos. Também mostrará processos eficazes de gestão das comunicações do projeto, incluindo a identificação das necessidades de informação, a distribuição adequada e o monitoramento do feedback. Além disso, a videoaula vai capacitá-lo(a) a identificar e superar as barreiras de comunicação que podem surgir durante o projeto, promovendo uma comunicação eficaz entre todas as partes interessadas, explorando técnicas de negociação.</t>
  </si>
  <si>
    <t>https://youtu.be/pPRTRT6S59Q</t>
  </si>
  <si>
    <t>2390P015362</t>
  </si>
  <si>
    <t>Gestão dos recursos humanos em projetos</t>
  </si>
  <si>
    <t xml:space="preserve">Esta videoaula vai capacitar você a compreender os princípios fundamentais da gestão da equipe do projeto, incluindo liderança, motivação e desenvolvimento de habilidades interpessoais. Nesta videoaula, você aprenderá técnicas eficazes de gestão das partes interessadas, incluindo a identificação, análise e engajamento das partes relevantes para o projeto. Além disso, a videoaula explorará estratégias para construir e liderar equipes de projeto coesas e eficazes, promovendo a colaboração e o alinhamento em direção aos objetivos do projeto. Você também será apresentado(a) a técnicas de gestão de conflitos e resolução de problemas que ajudarão a lidar com desafios interpessoais e garantir um ambiente de trabalho positivo e produtivo para a equipe do projeto. </t>
  </si>
  <si>
    <t>https://youtu.be/84g6C_EO7zk</t>
  </si>
  <si>
    <t>2390P015363</t>
  </si>
  <si>
    <t>Gestão dos riscos do projeto</t>
  </si>
  <si>
    <t>Esta videoaula vai ajudá-lo(a) a compreender os princípios fundamentais da gestão de riscos em projetos, incluindo identificação, análise e resposta aos riscos. Assim, você conhecerá ferramentas e técnicas de gestão de riscos, como análise qualitativa e quantitativa de risco. Além disso, você compreenderá como desenvolver planos de resposta aos riscos eficazes na mitigação de ameaças potenciais e maximização das oportunidades de sucesso. A videoaula também explorará estratégias para monitoramento e controle contínuos dos riscos do projeto, fundamentais para rápida adaptação às mudanças no ambiente do projeto.</t>
  </si>
  <si>
    <t>https://youtu.be/I7tU4K-UgQg</t>
  </si>
  <si>
    <t>2390P015364</t>
  </si>
  <si>
    <t>COST - 8</t>
  </si>
  <si>
    <t>Semana 8</t>
  </si>
  <si>
    <t>https://youtu.be/v8J-RVvh2GY</t>
  </si>
  <si>
    <t>2390P015389</t>
  </si>
  <si>
    <t>Apresentação da disciplina: Introdução á pesquisa operacional</t>
  </si>
  <si>
    <t>https://youtu.be/BhToRKPludc</t>
  </si>
  <si>
    <t>2390P013508</t>
  </si>
  <si>
    <t>Indrodução á otimização Linear</t>
  </si>
  <si>
    <t>https://youtu.be/gBC4TeHepKQ</t>
  </si>
  <si>
    <t>2390P013509</t>
  </si>
  <si>
    <t>Modelos de otimização Linear: O problema da mistura</t>
  </si>
  <si>
    <t>https://youtu.be/o18CLF21q9A</t>
  </si>
  <si>
    <t>2390P013510</t>
  </si>
  <si>
    <t>Modelos de otimização Linear: Problema de planejamento da Produção</t>
  </si>
  <si>
    <t>https://youtu.be/jG9SNO8aKjk</t>
  </si>
  <si>
    <t>2390P013511</t>
  </si>
  <si>
    <t>Modelo de otimização Linear: Problemas de logística e fluxos em redes</t>
  </si>
  <si>
    <t>https://youtu.be/o2_VC2h2cmw</t>
  </si>
  <si>
    <t>2390P013512</t>
  </si>
  <si>
    <t>Resolvendo e interpretando a solução de problemas de otimização Linear com Python</t>
  </si>
  <si>
    <t>https://youtu.be/T3sIi8QeoSM</t>
  </si>
  <si>
    <t>2390P013513</t>
  </si>
  <si>
    <t>Entrevista com analista em empresa gestora de fundos de capital</t>
  </si>
  <si>
    <t>https://youtu.be/Ts3tDTsDuYk</t>
  </si>
  <si>
    <t>2390P015089</t>
  </si>
  <si>
    <t>Método simplex para otimização Linear: Geometria</t>
  </si>
  <si>
    <t>https://youtu.be/XyPoEYNVxcE</t>
  </si>
  <si>
    <t>2390P013515</t>
  </si>
  <si>
    <t>Método simplex para otimização Linear: Álgebra</t>
  </si>
  <si>
    <t>https://youtu.be/yXEM6LxhHOc</t>
  </si>
  <si>
    <t>2390P013516</t>
  </si>
  <si>
    <t>Método simplex para otimização Linear: Implementações e alternativas</t>
  </si>
  <si>
    <t>https://youtu.be/FOcs6wGLZNk</t>
  </si>
  <si>
    <t>2390P013517</t>
  </si>
  <si>
    <t>Método simplex para otimização Linear: Otimização não-Linear</t>
  </si>
  <si>
    <t>https://youtu.be/mZOz3osBlYg</t>
  </si>
  <si>
    <t>2390P013518</t>
  </si>
  <si>
    <t>As condições de Karush-Kuhn-Tucker</t>
  </si>
  <si>
    <t>https://youtu.be/GAaH-NZbQBg</t>
  </si>
  <si>
    <t>2390P013519</t>
  </si>
  <si>
    <t>O problema de Quadros mínimos: Convexidade</t>
  </si>
  <si>
    <t>https://youtu.be/fl6mje0Y-mI</t>
  </si>
  <si>
    <t>2390P013520</t>
  </si>
  <si>
    <t>Aplicação de otimização não-Linear em estatística e aprendizado na máquina</t>
  </si>
  <si>
    <t>https://youtu.be/RZ3GirOJRk4</t>
  </si>
  <si>
    <t>2390P013521</t>
  </si>
  <si>
    <t>A direção de máxima descida: Teoria e geometria</t>
  </si>
  <si>
    <t>https://youtu.be/L-88pruo73g</t>
  </si>
  <si>
    <t>2390P013522</t>
  </si>
  <si>
    <t>Método de máxima descida: Passo fixo e busca Linear</t>
  </si>
  <si>
    <t>https://youtu.be/W2uEJeAbIn4</t>
  </si>
  <si>
    <t>2390P013765</t>
  </si>
  <si>
    <t>Método de máxima descida: Exemplos computacionais</t>
  </si>
  <si>
    <t>https://youtu.be/lGiDr6kpReg</t>
  </si>
  <si>
    <t>2390P013524</t>
  </si>
  <si>
    <t>Resolvendo e interpretando problemas de otimização não-Linear com Python</t>
  </si>
  <si>
    <t>https://youtu.be/WUy1ZwXVQNc</t>
  </si>
  <si>
    <t>2390P013525</t>
  </si>
  <si>
    <t>O que é a literatura?</t>
  </si>
  <si>
    <t>https://youtu.be/ElSDjDYYgac</t>
  </si>
  <si>
    <t>2390P015112</t>
  </si>
  <si>
    <t xml:space="preserve"> </t>
  </si>
  <si>
    <t>Para que serve a literatura?</t>
  </si>
  <si>
    <t>https://youtu.be/FeZLU4tXPbI</t>
  </si>
  <si>
    <t>2390P015113</t>
  </si>
  <si>
    <t>O que são teorias da literatura?</t>
  </si>
  <si>
    <t>https://youtu.be/uWTp_3r0ouA</t>
  </si>
  <si>
    <t>2390P015114</t>
  </si>
  <si>
    <t>Gêneros literários na Antiguidade I</t>
  </si>
  <si>
    <t>https://youtu.be/5asaw7sTyXo</t>
  </si>
  <si>
    <t>2390P015115</t>
  </si>
  <si>
    <t>Gêneros literários na Antiguidade II</t>
  </si>
  <si>
    <t>https://youtu.be/btX2SBsAXYs</t>
  </si>
  <si>
    <t>2390P015116</t>
  </si>
  <si>
    <t>Análises de um texto de cada gênero (Antiguidade)</t>
  </si>
  <si>
    <t>https://youtu.be/FNagU3R5neA</t>
  </si>
  <si>
    <t>2390P015155</t>
  </si>
  <si>
    <t>As origens do romance e suas teorias</t>
  </si>
  <si>
    <t>https://youtu.be/8SFxIDhYkeY</t>
  </si>
  <si>
    <t>2390P015118</t>
  </si>
  <si>
    <t>Aspectos do romance</t>
  </si>
  <si>
    <t>https://youtu.be/-zNHk_bhgPM</t>
  </si>
  <si>
    <t>2390P015119</t>
  </si>
  <si>
    <t>Aspectos do conto por suas teorizações</t>
  </si>
  <si>
    <t>https://youtu.be/a-m8HZg4f30</t>
  </si>
  <si>
    <t>2390P015121</t>
  </si>
  <si>
    <t>O conto moderno</t>
  </si>
  <si>
    <t>https://youtu.be/gNRWFeXd1Yw</t>
  </si>
  <si>
    <t>2390P015122</t>
  </si>
  <si>
    <t>O narrador como contador de histórias</t>
  </si>
  <si>
    <t>https://youtu.be/2ExpFQ7o5ag</t>
  </si>
  <si>
    <t>2390P013928</t>
  </si>
  <si>
    <t>Entrevista com Ana Paula</t>
  </si>
  <si>
    <t>https://youtu.be/zTXEJZs_ECg</t>
  </si>
  <si>
    <t>2390P015120</t>
  </si>
  <si>
    <t>As origens e a história da poesia</t>
  </si>
  <si>
    <t>https://youtu.be/0XwJKZubNFA</t>
  </si>
  <si>
    <t>2390P013932</t>
  </si>
  <si>
    <t>Aspectos da poesia</t>
  </si>
  <si>
    <t>https://youtu.be/OlHyzFOkqbQ</t>
  </si>
  <si>
    <t>2390P013933</t>
  </si>
  <si>
    <t>Entrevista com Alexandre Pilati</t>
  </si>
  <si>
    <t>https://youtu.be/FEd0OjvK5EM</t>
  </si>
  <si>
    <t>2390P013934</t>
  </si>
  <si>
    <t>Crítica materialista, Formalismo Russo e New Criticism</t>
  </si>
  <si>
    <t>https://youtu.be/-Y_ebzEi7yE</t>
  </si>
  <si>
    <t>2390P013935</t>
  </si>
  <si>
    <t>Estruturalismo e Pós-Estruturalismo</t>
  </si>
  <si>
    <t>https://youtu.be/DTOm6J69z8I</t>
  </si>
  <si>
    <t>2390P013936</t>
  </si>
  <si>
    <t>Entrevista com Luís Augusto Fischer - professor de literatura na Ufrgs</t>
  </si>
  <si>
    <t>https://youtu.be/VpSKuvNpdqw</t>
  </si>
  <si>
    <t>2390P013937</t>
  </si>
  <si>
    <t>Análise de romance</t>
  </si>
  <si>
    <t>https://youtu.be/Qal0RPNQotY</t>
  </si>
  <si>
    <t>2390P015123</t>
  </si>
  <si>
    <t>Análise de conto</t>
  </si>
  <si>
    <t>https://youtu.be/4wScbNRvMew</t>
  </si>
  <si>
    <t>2390P015156</t>
  </si>
  <si>
    <t>Análise de textos poéticos</t>
  </si>
  <si>
    <t>https://youtu.be/kvD7EzUASyw</t>
  </si>
  <si>
    <t>2390P015125</t>
  </si>
  <si>
    <t>https://youtu.be/o9-nUFaljfQ</t>
  </si>
  <si>
    <t>2390P015315</t>
  </si>
  <si>
    <t>Apresentação do tema</t>
  </si>
  <si>
    <t>Nesta videoaula, a professora Mônica Cristina Garbin faz uma apresentação da concepção do Projeto Integrador, das competências envolvidas e dos instrumentos para seu acompanhamento e avaliação.</t>
  </si>
  <si>
    <t>https://youtu.be/XodsVCDlRYk</t>
  </si>
  <si>
    <t>2390P015316</t>
  </si>
  <si>
    <t>Projeto pedagógico</t>
  </si>
  <si>
    <t>Esta videoaula da professora Mônica Cristina Garbin é reservada para discutir aspectos do projeto pedagógico e sua relação com a prática docente. A docente analisa as diferentes dimensões da diversidade presente no contexto educacional atual, reflete sobre as implicações da diversidade para o projeto pedagógico e a docência, e identifica estratégias para promover uma educação inclusiva e respeitosa da diversidade.</t>
  </si>
  <si>
    <t>https://youtu.be/JixqexX3Pks</t>
  </si>
  <si>
    <t>2390P015317</t>
  </si>
  <si>
    <t>Docência no projeto pedagógico</t>
  </si>
  <si>
    <t>Partindo da reflexão sobre questões contemporâneas sobre o espaço escolar, a professora Mônica Cristina Garbin explicita e explica os saberes necessários para a prática docente.</t>
  </si>
  <si>
    <t>https://youtu.be/JYotOLpgHuo</t>
  </si>
  <si>
    <t>2390P015318</t>
  </si>
  <si>
    <t>Entrevista: respeito às diferenças</t>
  </si>
  <si>
    <t>Nesta videoaula, a professora Mônica Cristina Garbin entrevista a professora Mirian Lucia Gonçalves, docente da rede municipal de Campinas. A professora Miriam tratou da importância do tratamento do tema “diversidade e multiculturalismo” nas diferentes etapas, da Educação Infantil ao Ensino Médio; falou sobre como esses temas se desenvolvem no cotidiano escolar; abordou o papel do professor nas possíveis adaptações curriculares; e apresentou as possibilidades, do ponto de vista da escola, em relação às práticas pedagógicas.</t>
  </si>
  <si>
    <t>https://youtu.be/e2EM7LzWvgc</t>
  </si>
  <si>
    <t>2390P015319</t>
  </si>
  <si>
    <t>Leitura no contexto da diversidade</t>
  </si>
  <si>
    <t>Esta videoaula da professora Mônica Cristina Garbin foi dedicada a apresentar possíveis livros infanto-juvenis que podem contribuir para práticas pedagógicas em vista do desenvolvimento da diversidade e do multiculturalismo. Os livros apresentados foram: Amoras; O mundo no black power de Tayó; O pequeno príncipe preto; e Outros contos africanos para crianças brasileiras.</t>
  </si>
  <si>
    <t>https://youtu.be/YkjVxpcm_Es</t>
  </si>
  <si>
    <t>2390P015320</t>
  </si>
  <si>
    <t>https://youtu.be/Kh6ZHdYQut4</t>
  </si>
  <si>
    <t>2390P015090</t>
  </si>
  <si>
    <t>Daniel Romão</t>
  </si>
  <si>
    <t>Números: uma construção humana</t>
  </si>
  <si>
    <t>aula com arte</t>
  </si>
  <si>
    <t>https://youtu.be/gaCpDdRZPyw</t>
  </si>
  <si>
    <t>2390P015091</t>
  </si>
  <si>
    <t>Bases numéricas</t>
  </si>
  <si>
    <t>https://youtu.be/6kQvsR33wRE</t>
  </si>
  <si>
    <t>2390P015092</t>
  </si>
  <si>
    <t>Conjuntos: noção intuitiva e representações</t>
  </si>
  <si>
    <t>https://youtu.be/aFn-hhxc_iA</t>
  </si>
  <si>
    <t>2390P015093</t>
  </si>
  <si>
    <t>Relações entre conjuntos e elementos</t>
  </si>
  <si>
    <t>https://youtu.be/GhtXV9MEUgo</t>
  </si>
  <si>
    <t>2390P015094</t>
  </si>
  <si>
    <t>Conjuntos numéricos</t>
  </si>
  <si>
    <t>https://youtu.be/PaHvNeTvr-0</t>
  </si>
  <si>
    <t>2390P015095</t>
  </si>
  <si>
    <t>Expressões algébricas e polinômios</t>
  </si>
  <si>
    <t>https://youtu.be/TACFUpoMyKY</t>
  </si>
  <si>
    <t>2390P015397</t>
  </si>
  <si>
    <t>Operações com polinômios</t>
  </si>
  <si>
    <t>https://youtu.be/w2g1YiWIGnw</t>
  </si>
  <si>
    <t>2390P015097</t>
  </si>
  <si>
    <t>Equações de 1º e 2º graus - Parte I</t>
  </si>
  <si>
    <t>https://youtu.be/Ui3-QLVe7BY</t>
  </si>
  <si>
    <t>2390P015098</t>
  </si>
  <si>
    <t>Equações de 1º e 2º graus - Parte II</t>
  </si>
  <si>
    <t>https://youtu.be/74pX4A685R0</t>
  </si>
  <si>
    <t>2390P015099</t>
  </si>
  <si>
    <t>Inequações de 1º e 2º graus - Parte I</t>
  </si>
  <si>
    <t>https://youtu.be/jTsHpaBH_Uk</t>
  </si>
  <si>
    <t>2390P015100</t>
  </si>
  <si>
    <t>Inequações de 1º e 2º graus - Parte II</t>
  </si>
  <si>
    <t>https://youtu.be/Gy7CectKuyk</t>
  </si>
  <si>
    <t>2390P015101</t>
  </si>
  <si>
    <t>Funções - Parte I</t>
  </si>
  <si>
    <t>https://youtu.be/ViBdL9QiaBA</t>
  </si>
  <si>
    <t>2390P015102</t>
  </si>
  <si>
    <t>Funções - Parte II</t>
  </si>
  <si>
    <t>https://youtu.be/l96GW8I06bM</t>
  </si>
  <si>
    <t>2390P015103</t>
  </si>
  <si>
    <t>Funções - Parte III</t>
  </si>
  <si>
    <t>https://youtu.be/Fj1v8GBz0vw</t>
  </si>
  <si>
    <t>2390P015104</t>
  </si>
  <si>
    <t>Funções Inversas</t>
  </si>
  <si>
    <t>https://youtu.be/HpkYntqiSPg</t>
  </si>
  <si>
    <t>2390P015105</t>
  </si>
  <si>
    <t>Função Exponencial</t>
  </si>
  <si>
    <t>https://youtu.be/smBPfGphE6w</t>
  </si>
  <si>
    <t>2390P015106</t>
  </si>
  <si>
    <t>Função Logarítmica</t>
  </si>
  <si>
    <t>https://youtu.be/uBPwQz8Hiso</t>
  </si>
  <si>
    <t>2390P015107</t>
  </si>
  <si>
    <t>Razões Trigonometricas no triângulo retângulo</t>
  </si>
  <si>
    <t>https://youtu.be/UXK1pRxHAw8</t>
  </si>
  <si>
    <t>2390P015108</t>
  </si>
  <si>
    <t>Circunferência trigonométrica</t>
  </si>
  <si>
    <t>https://youtu.be/n_pNkIAkCR8</t>
  </si>
  <si>
    <t>2390P015109</t>
  </si>
  <si>
    <t>Razões trigonométricas no ciclo trigonométrico</t>
  </si>
  <si>
    <t>https://youtu.be/nZ--KuWsrCU</t>
  </si>
  <si>
    <t>2390P015110</t>
  </si>
  <si>
    <t>Funções trigonométricas</t>
  </si>
  <si>
    <t>https://youtu.be/nqOohXfiAoU</t>
  </si>
  <si>
    <t>2390P015111</t>
  </si>
  <si>
    <t>AULA 22</t>
  </si>
  <si>
    <t>Lógica: noções gerais</t>
  </si>
  <si>
    <t>https://youtu.be/WCzLIdLt53E</t>
  </si>
  <si>
    <t>2390P015213</t>
  </si>
  <si>
    <t>AULA 23</t>
  </si>
  <si>
    <t>Tabelas-verdade</t>
  </si>
  <si>
    <t>https://youtu.be/nK53LIjbuqo</t>
  </si>
  <si>
    <t>2390P015214</t>
  </si>
  <si>
    <t>https://youtu.be/Ryp3n8c34uQ</t>
  </si>
  <si>
    <t>2390P013669</t>
  </si>
  <si>
    <t>Direito e Sociologia</t>
  </si>
  <si>
    <t>https://youtu.be/vyIbsQreoOg</t>
  </si>
  <si>
    <t>2390P013619</t>
  </si>
  <si>
    <t>Implicações jurídicas na vida profissional do engenheiro</t>
  </si>
  <si>
    <t>e</t>
  </si>
  <si>
    <t>https://youtu.be/LfiBxsqPyig</t>
  </si>
  <si>
    <t>2390P015396</t>
  </si>
  <si>
    <t>Cidadania e Direitos</t>
  </si>
  <si>
    <t>https://youtu.be/NcPJ-N-Q_X8</t>
  </si>
  <si>
    <t>2390P014598</t>
  </si>
  <si>
    <t>Lei Geral de Proteção de Dados</t>
  </si>
  <si>
    <t>https://youtu.be/eRWQNq6E8SA</t>
  </si>
  <si>
    <t>2390P013622</t>
  </si>
  <si>
    <t>Propriedade Intelectual</t>
  </si>
  <si>
    <t>https://youtu.be/ZSsudXfl0AQ</t>
  </si>
  <si>
    <t>2390P013623</t>
  </si>
  <si>
    <t>Direito Digital e Internet</t>
  </si>
  <si>
    <t>https://youtu.be/WZ5qikB7RLo</t>
  </si>
  <si>
    <t>2390P013621</t>
  </si>
  <si>
    <t>Software e Licenças</t>
  </si>
  <si>
    <t>https://youtu.be/C_H8SvNRNig</t>
  </si>
  <si>
    <t>2390P013625</t>
  </si>
  <si>
    <t>https://youtu.be/RBX-fIxKIzc</t>
  </si>
  <si>
    <t>2390P013788</t>
  </si>
  <si>
    <t>Histórico da educação de jovens e adultos no Brasil</t>
  </si>
  <si>
    <t>Nesta primeira videoaula, a Profª Adriana Batista de Souza Koide tratará sobre a definição contemporânea da EJA, construída sobre suas memórias históricas, entendendo-a como real espaço de educação formal, com políticas públicas específicas.</t>
  </si>
  <si>
    <t>https://youtu.be/eXQkTg2yu1E</t>
  </si>
  <si>
    <t>2390P015382</t>
  </si>
  <si>
    <t xml:space="preserve">Marcos legais e políticas públicas para a Educação de Jovens e Adultos no Brasil
</t>
  </si>
  <si>
    <t>Nesta videoaula, a Profª Adriana Batista de Souza Koide abordará marcos legais e políticas públicas que fundamentam e consolidam a Educação de Jovens e Adultos, destacando que a educação se faz ao longo da vida, em todos os espaços e em todas as relações.</t>
  </si>
  <si>
    <t>https://youtu.be/oS-NieQXpo0</t>
  </si>
  <si>
    <t>2390P015383</t>
  </si>
  <si>
    <t xml:space="preserve">Alfabetização, letramento 
e cidadania para jovens e adultos
</t>
  </si>
  <si>
    <t>A videoaula tem como objetivo propiciar a identificação do processo de alfabetização na perspectiva do letramento no contexto da Educação de Jovens e Adultos, dialogando com a compreensão de práticas e conceitos sobre como a alfabetização e o letramento estão relacionados à construção do conhecimento e com os impactos da escolarização na vida humana.</t>
  </si>
  <si>
    <t>https://youtu.be/Jvj7DPb081o</t>
  </si>
  <si>
    <t>2390P013791</t>
  </si>
  <si>
    <t xml:space="preserve">Alfabetização científica e consciência crítica na educação de jovens e adultos
</t>
  </si>
  <si>
    <t>A videoaula intenta fomentar a reflexão sobre práticas que desenvolvam a alfabetização científica e o letramento crítico nos estudantes adultos, bem como destaca as diferenças entre a consciência ingênua e a consciência crítica, discutindo acerca da relação entre alfabetização, letramento, cidadania e educação a partir das contribuições de Paulo Freire.</t>
  </si>
  <si>
    <t>https://youtu.be/I1NmnytpXAM</t>
  </si>
  <si>
    <t>2390P013792</t>
  </si>
  <si>
    <t>Práticas pedagógicas
e propostas didáticas para
a educação de jovens e adultos</t>
  </si>
  <si>
    <t>A videoaula tem como objetivo propiciar a análise crítica das práticas e metodologias utilizadas na Educação de Jovens e Adultos, fomentando reflexões sobre a identificação e a aplicação de propostas didáticas adequadas ao público adulto.</t>
  </si>
  <si>
    <t>https://youtu.be/ZWNDyQO3Urw</t>
  </si>
  <si>
    <t>2390P013793</t>
  </si>
  <si>
    <t xml:space="preserve">Seleção e análise de materiais e recursos educacionais para a Educação de Jovens e Adultos
</t>
  </si>
  <si>
    <t>O propósito da videoaula está em propiciar reflexões sobre a identificação e possíveis aplicações de propostas didáticas adequadas ao público adulto.</t>
  </si>
  <si>
    <t>https://youtu.be/GWV0anu1knE</t>
  </si>
  <si>
    <t>2390P013794</t>
  </si>
  <si>
    <t>AULA 7</t>
  </si>
  <si>
    <t>Alfabetização e Paulo Freire</t>
  </si>
  <si>
    <t>A proposta de reflexão da videoaula trata sobre as contribuições de Paulo Freire para a Educação de Jovens e Adultos, com enfoque sobre a transição de consciência: ingênua e crítica.</t>
  </si>
  <si>
    <t>https://youtu.be/WAHeVm3OA6g</t>
  </si>
  <si>
    <t>2390P013795</t>
  </si>
  <si>
    <t xml:space="preserve">Currículo: propostas disciplinares e diversidade
</t>
  </si>
  <si>
    <t>O foco da videoaula consiste em colocar em diálogo as práticas pedagógicas, a diversidade e o currículo para a Educação de Jovens e Adultos, verificando possibilidades inovadoras e especificidades das manifestações e abordagens do currículo.</t>
  </si>
  <si>
    <t>https://youtu.be/mi2nl3VEAcY</t>
  </si>
  <si>
    <t>2390P016297</t>
  </si>
  <si>
    <t xml:space="preserve">Direitos Humanos e Interdisciplinaridade
</t>
  </si>
  <si>
    <t>A videoaula tem como propósito instigar a reflexão sobre temas possivelmente relevantes para a discussão sobre currículo na Educação de Jovens e Adultos, por exemplo: cidadania, trabalho e saúde. A proposta de currículo também é aberta para o respeito à diversidade e aos direitos humanos.</t>
  </si>
  <si>
    <t>https://youtu.be/BSBcdbSsrAs</t>
  </si>
  <si>
    <t>2390P013797</t>
  </si>
  <si>
    <t xml:space="preserve">As Demandas da Educação de Jovens e Adultos e algumas proposições da Neurociência
</t>
  </si>
  <si>
    <t>Adaptação, flexibilização de currículo é a proposta central da videoaula, com o intuito de atendimento para as diversidades, necessidades e interesses dos estudantes da Educação de Jovens e Adultos, com respaldo em estudos neurocientíficos. Há também a proposta de análise de currículos destinados à EJA na videoaula, com olhar direcionado para adaptações/flexibilizações.</t>
  </si>
  <si>
    <t>https://youtu.be/RQ0CNg-ve4s</t>
  </si>
  <si>
    <t>2390P013798</t>
  </si>
  <si>
    <t xml:space="preserve">DIFICULDADES DE APRENDIZAGEM E EDUCAÇÃO INCLUSIVA NA EDUCAÇÃO DE JOVENS E ADULTOS
</t>
  </si>
  <si>
    <t xml:space="preserve">A videoaula propõe a reflexão sobre a definição de Educação Especial e Educação Inclusiva, abordando dificuldades de aprendizagem e possíveis práticas inclusivas na Educação de Jovens e Adultos. </t>
  </si>
  <si>
    <t>https://youtu.be/65VNHT6PkRo</t>
  </si>
  <si>
    <t>2390P013799</t>
  </si>
  <si>
    <t xml:space="preserve">Educação de Jovens e Adultos em situação de privação/restrição de liberdade
</t>
  </si>
  <si>
    <t>A videoaula tem como propósito ampliar olhares sobre os possíveis perfis de estudantes da Educação de Jovens e Adultos e de seus contextos sociais e culturais, atentando-se para situações em que ocorrem a privação ou restrição de liberdade, ou seja, trata-se de propor reflexões sobre a escola na prisão.</t>
  </si>
  <si>
    <t>https://youtu.be/y-VmE4wPoZw</t>
  </si>
  <si>
    <t>2390P013800</t>
  </si>
  <si>
    <t xml:space="preserve">Educação de Jovens e Adultos para quilombolas, indígenas, moradores do campo e itinerantes
</t>
  </si>
  <si>
    <t>A videoaula se dedica a continuar fomentando reflexões sobre os possíveis perfis de estudantes da Educação de Jovens e Adultos e de seus contextos sociais e culturais, voltando a atenção para a pluralidade e a visibilidade dos estudantes de EJA quilombolas, indígenas, moradores do campo e itinerantes.</t>
  </si>
  <si>
    <t>https://youtu.be/XO8EsahwI2I</t>
  </si>
  <si>
    <t>2390P013801</t>
  </si>
  <si>
    <t>Metodologias ativas e recursos tecnológicos na educação de jovens e adultos</t>
  </si>
  <si>
    <t>https://youtu.be/1wkRYohT48A</t>
  </si>
  <si>
    <t>2390P013802</t>
  </si>
  <si>
    <t>Avaliação na educação de jovens e adultos</t>
  </si>
  <si>
    <t>https://youtu.be/9_CtO6w78Uc</t>
  </si>
  <si>
    <t>2390P013803</t>
  </si>
  <si>
    <t>Projetos, ações e trocas de experiências</t>
  </si>
  <si>
    <t>https://youtu.be/vYZs32RQI64</t>
  </si>
  <si>
    <t>2390P013804</t>
  </si>
  <si>
    <t xml:space="preserve">A Educação de Jovens e Adultos em Ação </t>
  </si>
  <si>
    <t>https://youtu.be/EGKARAeSifQ</t>
  </si>
  <si>
    <t>2390P015441</t>
  </si>
  <si>
    <t xml:space="preserve">Formação de professores </t>
  </si>
  <si>
    <t>https://youtu.be/BfmK_1sWPi4</t>
  </si>
  <si>
    <t>2390P015452</t>
  </si>
  <si>
    <t>https://youtu.be/-vY3zo9m77E</t>
  </si>
  <si>
    <t xml:space="preserve">ok </t>
  </si>
  <si>
    <t>2390P015321</t>
  </si>
  <si>
    <t>Conceitos básicos: dados , informação e o papel nas organizações</t>
  </si>
  <si>
    <t>https://youtu.be/F9QKJd3ect4</t>
  </si>
  <si>
    <t>2390P015322</t>
  </si>
  <si>
    <t>Definição e contruibuição dos sistemas de informação na gestão organizacional</t>
  </si>
  <si>
    <t>https://youtu.be/PNG0GLqaNPU</t>
  </si>
  <si>
    <t>2390P015323</t>
  </si>
  <si>
    <t>Tecnologias da informação e comunicação (TIC) nos sistemas de informação empresariais</t>
  </si>
  <si>
    <t>https://youtu.be/AqsiIuHEq-Q</t>
  </si>
  <si>
    <t>2390P015324</t>
  </si>
  <si>
    <t>Sistemas de informação: identificando suas cinco áreas de conhecimento</t>
  </si>
  <si>
    <t>https://youtu.be/hgKN8EsZyhM</t>
  </si>
  <si>
    <t>2390P015325</t>
  </si>
  <si>
    <t>Tecnologias utilizadas em sistemas de informação empresariais</t>
  </si>
  <si>
    <t>https://youtu.be/rSDu9psovvA</t>
  </si>
  <si>
    <t>2390P015326</t>
  </si>
  <si>
    <t>Sistemas ERP (Enterprise Resourse Planning), SIG (sistemas de Informação Gerencial) e e-commerce</t>
  </si>
  <si>
    <t>https://youtu.be/8HyHD5CZews</t>
  </si>
  <si>
    <t>2390P015327</t>
  </si>
  <si>
    <t>O papel dos sistemas de informação nas decisões empresariais</t>
  </si>
  <si>
    <t>https://youtu.be/7H3P9hjaaag</t>
  </si>
  <si>
    <t>2390P015328</t>
  </si>
  <si>
    <t>Classificação dos sistemas de informação</t>
  </si>
  <si>
    <t>https://youtu.be/SEuo-OZ9HjY</t>
  </si>
  <si>
    <t>2390P015329</t>
  </si>
  <si>
    <t>E-commerce nas estratégias de negócios e na gestão da cadeia de suprimentos</t>
  </si>
  <si>
    <t>https://youtu.be/dno20kR3vy4</t>
  </si>
  <si>
    <t>2390P015330</t>
  </si>
  <si>
    <t>Gestão de Sistemas Seguros</t>
  </si>
  <si>
    <t>https://youtu.be/Sk9kAy_yjh0</t>
  </si>
  <si>
    <t>2390P015331</t>
  </si>
  <si>
    <t>Segurança em várias camadas</t>
  </si>
  <si>
    <t>https://youtu.be/OM8SQu4TQJE</t>
  </si>
  <si>
    <t>2390P015333</t>
  </si>
  <si>
    <t>Práticas para mitigar as ameaças a segurança</t>
  </si>
  <si>
    <t>https://youtu.be/DhWAf3OHAtM</t>
  </si>
  <si>
    <t>2390P015332</t>
  </si>
  <si>
    <t>Extended Enterprise: conceitos</t>
  </si>
  <si>
    <t>https://youtu.be/urNzdhVwQcQ</t>
  </si>
  <si>
    <t>2390P015334</t>
  </si>
  <si>
    <t>Supply Chain e extended enterprise</t>
  </si>
  <si>
    <t>https://youtu.be/_9uVQwn7PZM</t>
  </si>
  <si>
    <t>2390P015335</t>
  </si>
  <si>
    <t>ERP e extended enterprise</t>
  </si>
  <si>
    <t>https://youtu.be/yITmFAL5pm4</t>
  </si>
  <si>
    <t>2390P015336</t>
  </si>
  <si>
    <t>Conceito de processos</t>
  </si>
  <si>
    <t>https://youtu.be/qnU4p2XYTnY</t>
  </si>
  <si>
    <t>2390P015337</t>
  </si>
  <si>
    <t>Ferramentas e técnicas utilizadas para o gerenciamento de processos</t>
  </si>
  <si>
    <t>https://youtu.be/lvsHZWD_SFw</t>
  </si>
  <si>
    <t>2390P015338</t>
  </si>
  <si>
    <t>Sistemas de informação como ferramenta de melhoria de processo</t>
  </si>
  <si>
    <t>https://youtu.be/pNjnHr9kV6E</t>
  </si>
  <si>
    <t>2390P015339</t>
  </si>
  <si>
    <t>Desenvolvimento e uso de sistemas de informação</t>
  </si>
  <si>
    <t>https://youtu.be/m6Amm1kjo6o</t>
  </si>
  <si>
    <t>2390P015340</t>
  </si>
  <si>
    <t>Resolução de problemas com sistemas de informação</t>
  </si>
  <si>
    <t>https://youtu.be/HDBRzDV6SAY</t>
  </si>
  <si>
    <t>2390P015341</t>
  </si>
  <si>
    <t>Sistemas de negócios eletrônicios e sistemas de apoio a decisão</t>
  </si>
  <si>
    <t>https://youtu.be/kpKoYUbnhOE</t>
  </si>
  <si>
    <t>2390P015342</t>
  </si>
  <si>
    <t>https://youtu.be/sfPMqly96f4</t>
  </si>
  <si>
    <t>2390P014315</t>
  </si>
  <si>
    <t>Tendências fundamentais: moldando o marketing digital</t>
  </si>
  <si>
    <t>https://youtu.be/KlQLQ3i32jA</t>
  </si>
  <si>
    <t>2390P014316</t>
  </si>
  <si>
    <t>Consequências da mudança e o novo caminho do consumidor</t>
  </si>
  <si>
    <t>https://youtu.be/YNPE-qcES3w</t>
  </si>
  <si>
    <t>2390P014317</t>
  </si>
  <si>
    <t>Marketing omnichannel: compromisso com a marca</t>
  </si>
  <si>
    <t>https://youtu.be/wZY8SuHna9U</t>
  </si>
  <si>
    <t>2390P014318</t>
  </si>
  <si>
    <t>O que é estratégia digital</t>
  </si>
  <si>
    <t>https://youtu.be/ONWkXZCMgDg</t>
  </si>
  <si>
    <t>2390P014319</t>
  </si>
  <si>
    <t>Desenvolvimento de planejamento estratégico digital</t>
  </si>
  <si>
    <t>https://youtu.be/8Wd9GAcCaSs</t>
  </si>
  <si>
    <t>2390P014320</t>
  </si>
  <si>
    <t>Estudo sobre os mecanismos de busca na internet, incluindo SEO e SEM</t>
  </si>
  <si>
    <t>https://youtu.be/uwk_lZWa8no</t>
  </si>
  <si>
    <t>2390P014321</t>
  </si>
  <si>
    <t>Como definir a persona da minha marca?</t>
  </si>
  <si>
    <t>https://youtu.be/pW-ZsURnh10</t>
  </si>
  <si>
    <t>2390P014322</t>
  </si>
  <si>
    <t>Estratégias de marketing digital: criação de landing page e ações crossmedia</t>
  </si>
  <si>
    <t>https://youtu.be/iw3CUySM9n8</t>
  </si>
  <si>
    <t>2390P014323</t>
  </si>
  <si>
    <t>Planejamento de palavras-chave</t>
  </si>
  <si>
    <t>https://youtu.be/MP-wufcUujg</t>
  </si>
  <si>
    <t>2390P014324</t>
  </si>
  <si>
    <t>Inbound marketing e planejamento de conteúdo</t>
  </si>
  <si>
    <t>https://youtu.be/WOXYoT1xFO8</t>
  </si>
  <si>
    <t>2390P014325</t>
  </si>
  <si>
    <t>Blogs e sites, e-mail marketing</t>
  </si>
  <si>
    <t>https://youtu.be/sFQN95xYKy8</t>
  </si>
  <si>
    <t>2390P014326</t>
  </si>
  <si>
    <t>Anúncio em redes sociais</t>
  </si>
  <si>
    <t>https://youtu.be/XFTBsz_4kGc</t>
  </si>
  <si>
    <t>2390P014327</t>
  </si>
  <si>
    <t>Funções do social media, analista de marketing digital e níveis hierárquicos</t>
  </si>
  <si>
    <t>https://youtu.be/RLW-IQP1uSc</t>
  </si>
  <si>
    <t>2390P014328</t>
  </si>
  <si>
    <t>Branding digital: relacionamento, experiência, humanização e engajamento</t>
  </si>
  <si>
    <t>https://youtu.be/YkgrcqOBMIY</t>
  </si>
  <si>
    <t>2390P014329</t>
  </si>
  <si>
    <t>M-commerce, mobile marketing, aplicativos e tendências</t>
  </si>
  <si>
    <t>https://youtu.be/DnuHFrBch8M</t>
  </si>
  <si>
    <t>2390P014330</t>
  </si>
  <si>
    <t>Conhecimento das melhores práticas relacionadas à LGPD e privacidade</t>
  </si>
  <si>
    <t>https://youtu.be/ZnXspO4ylh4</t>
  </si>
  <si>
    <t>2390P014331</t>
  </si>
  <si>
    <t xml:space="preserve">Exploração das tecnologias de monitoramento da jornada do usuário </t>
  </si>
  <si>
    <t>https://youtu.be/RBTterLVEeY</t>
  </si>
  <si>
    <t>2390P014332</t>
  </si>
  <si>
    <t>Compreensão das ferramentas e plataformas de automação de marketing</t>
  </si>
  <si>
    <t>https://youtu.be/T8xxh2mae5g</t>
  </si>
  <si>
    <t>2390P014333</t>
  </si>
  <si>
    <t>Definição de metas e indicadores de desempenho (KPIs) para medir o sucesso das estratégias</t>
  </si>
  <si>
    <t>https://youtu.be/jOkc4dz3jeI</t>
  </si>
  <si>
    <t>2390P014334</t>
  </si>
  <si>
    <t>Métricas em redes sociais, ferramentas Google e em sites</t>
  </si>
  <si>
    <t>https://youtu.be/k4KoN-DyXgE</t>
  </si>
  <si>
    <t>2390P014335</t>
  </si>
  <si>
    <t xml:space="preserve">Tomada de decisão: análise das métricas
</t>
  </si>
  <si>
    <t>https://youtu.be/T4C6OZvJC6E</t>
  </si>
  <si>
    <t>2390P014336</t>
  </si>
  <si>
    <t>https://youtu.be/bqyICKPmOeI</t>
  </si>
  <si>
    <t>2390P015398</t>
  </si>
  <si>
    <t>Ciência de dados + PO - Entrevista com Catarina Junqueira</t>
  </si>
  <si>
    <t>https://youtu.be/9_RQt9oWdsU</t>
  </si>
  <si>
    <t>2390P015399</t>
  </si>
  <si>
    <t>Habilidades e Ferramentas</t>
  </si>
  <si>
    <t>https://youtu.be/3nTV9ynHnNk</t>
  </si>
  <si>
    <t>2390P015400</t>
  </si>
  <si>
    <t>Planejamento de Produção</t>
  </si>
  <si>
    <t>https://youtu.be/ltCdkGh3X-E</t>
  </si>
  <si>
    <t>2390P015401</t>
  </si>
  <si>
    <t>Você consultor em Pesquisa Operacional</t>
  </si>
  <si>
    <t>https://youtu.be/zl8Rk_7L0KE</t>
  </si>
  <si>
    <t>2390P015402</t>
  </si>
  <si>
    <t>Escala de Funcionários - Teoria</t>
  </si>
  <si>
    <t>https://youtu.be/svo9jhwHSvY</t>
  </si>
  <si>
    <t>2390P015403</t>
  </si>
  <si>
    <t>Escala de Funcionários - Python</t>
  </si>
  <si>
    <t>https://youtu.be/L09by-cxnIE</t>
  </si>
  <si>
    <t>2390P015404</t>
  </si>
  <si>
    <t>Hidrelétricas turbinadas - Entrevista com Dr. Takaaki Ohishi</t>
  </si>
  <si>
    <t>https://youtu.be/Xf203Nsil_E</t>
  </si>
  <si>
    <t>2390P015405</t>
  </si>
  <si>
    <t>Localização de Facilidades - Teoria</t>
  </si>
  <si>
    <t>https://youtu.be/Bl8HFQcuxoI</t>
  </si>
  <si>
    <t>2390P015406</t>
  </si>
  <si>
    <t>Localização de Facilidades - Python</t>
  </si>
  <si>
    <t>https://youtu.be/fx7R1PJDZwA</t>
  </si>
  <si>
    <t>2390P015407</t>
  </si>
  <si>
    <t>A maior máquina do Brasil - Entrevista com Dr. Secundino Soares Filho</t>
  </si>
  <si>
    <t>https://youtu.be/VJ3DD5oTUd4</t>
  </si>
  <si>
    <t>2390P015408</t>
  </si>
  <si>
    <t>Caixeiro Viajante e Roteamento de Veículos - Teoria</t>
  </si>
  <si>
    <t>https://youtu.be/kYxUaizq8-o</t>
  </si>
  <si>
    <t>2390P015409</t>
  </si>
  <si>
    <t>Caixeiro Viajante e Roteamento de Veículos - Python</t>
  </si>
  <si>
    <t>https://youtu.be/clh66ua5PkI</t>
  </si>
  <si>
    <t>2390P015410</t>
  </si>
  <si>
    <t>Lean e Pesquisa Operacional em CDs Entrevista com Marcos Schroeder</t>
  </si>
  <si>
    <t>https://youtu.be/zTceCQe6JUs</t>
  </si>
  <si>
    <t>2390P015411</t>
  </si>
  <si>
    <t>Sequenciamento de Tarefas – Teoria</t>
  </si>
  <si>
    <t>https://youtu.be/UjYfiE7Xeww</t>
  </si>
  <si>
    <t>2390P015412</t>
  </si>
  <si>
    <t>Sequenciamento de Tarefas - Python</t>
  </si>
  <si>
    <t>https://youtu.be/vjt3nJ7Iw20</t>
  </si>
  <si>
    <t>2390P015413</t>
  </si>
  <si>
    <t>Gêmeo digital industrial - Entrevista com Michael Machado</t>
  </si>
  <si>
    <t>https://youtu.be/I9q9ig8yzMQ</t>
  </si>
  <si>
    <t>2390P016335</t>
  </si>
  <si>
    <t>Corte e empacotamento - Teoria</t>
  </si>
  <si>
    <t>https://youtu.be/LSYNpumVsLk</t>
  </si>
  <si>
    <t>2390P015415</t>
  </si>
  <si>
    <t>Corte e empacotamento - Python</t>
  </si>
  <si>
    <t>https://youtu.be/R_Upmg7C8-0</t>
  </si>
  <si>
    <t>2390P015416</t>
  </si>
  <si>
    <t>Logística avançada no varejo Entrevista com Bernardo Almada-Lobo</t>
  </si>
  <si>
    <t>https://youtu.be/46hO-JlDx98</t>
  </si>
  <si>
    <t>2390P015417</t>
  </si>
  <si>
    <t>Pesquisa Operacional na ATT e na Amazon – Entrevista com Maurício Resende</t>
  </si>
  <si>
    <t>https://youtu.be/fhJbsdLJepo</t>
  </si>
  <si>
    <t>2390P015418</t>
  </si>
  <si>
    <t>Integração e Perspectivas</t>
  </si>
  <si>
    <t>https://youtu.be/AchajPhKuQc</t>
  </si>
  <si>
    <t>2390P015419</t>
  </si>
  <si>
    <t>https://youtu.be/EdVpjYWVb3g</t>
  </si>
  <si>
    <t>2390P015270</t>
  </si>
  <si>
    <t>Conceitos e objetivos da gestão de processos de negócio</t>
  </si>
  <si>
    <t>https://youtu.be/5h_KxtotPa4</t>
  </si>
  <si>
    <t>2390P015249</t>
  </si>
  <si>
    <t>Objetivos e benefícios da gestão de processos</t>
  </si>
  <si>
    <t>https://youtu.be/sBWz-vZsBf8</t>
  </si>
  <si>
    <t>2390P015250</t>
  </si>
  <si>
    <t>Conceitos-chave relacionados à gestão de processos de negócio</t>
  </si>
  <si>
    <t>https://youtu.be/jcSPwQK8YvQ</t>
  </si>
  <si>
    <t>2390P015251</t>
  </si>
  <si>
    <t>Identificar, analisar e representar processos de negócio </t>
  </si>
  <si>
    <t>https://youtu.be/4kJOOGb0_OU</t>
  </si>
  <si>
    <t>2390P015252</t>
  </si>
  <si>
    <t>Técnicas e metodologias utilizadas na modelagem de processos</t>
  </si>
  <si>
    <t>https://youtu.be/DJ5yUjhkfN4</t>
  </si>
  <si>
    <t>2390P015253</t>
  </si>
  <si>
    <t>Documentar processos por meio de diagramas e fluxogramas</t>
  </si>
  <si>
    <t>https://youtu.be/ZPCBB_i542o</t>
  </si>
  <si>
    <t>2390P015254</t>
  </si>
  <si>
    <t>Domínio da notação BPMN </t>
  </si>
  <si>
    <t>https://youtu.be/KZ0o2IZXGmE</t>
  </si>
  <si>
    <t>2390P015255</t>
  </si>
  <si>
    <t>Diagramas de processos usando a notação BPMN</t>
  </si>
  <si>
    <t>https://youtu.be/hd6Iy_IMr_4</t>
  </si>
  <si>
    <t>2390P015256</t>
  </si>
  <si>
    <t>Elementos e símbolos do BPMN e seu significado</t>
  </si>
  <si>
    <t>https://youtu.be/9D6F4wHKKQI</t>
  </si>
  <si>
    <t>2390P015257</t>
  </si>
  <si>
    <t>Realizar diagnósticos de processos existentes, identificando pontos de melhoria</t>
  </si>
  <si>
    <t>https://youtu.be/b-UbDndvw4s</t>
  </si>
  <si>
    <t>2390P015258</t>
  </si>
  <si>
    <t>Propor soluções e estratégias de otimização de processos</t>
  </si>
  <si>
    <t>https://youtu.be/iJQ3RSxvq7Y</t>
  </si>
  <si>
    <t>2390P015259</t>
  </si>
  <si>
    <t>Técnicas e metodologias para a otimização contínua de processos </t>
  </si>
  <si>
    <t>https://youtu.be/Xm-SYwd0QKc</t>
  </si>
  <si>
    <t>2390P015260</t>
  </si>
  <si>
    <t>Indicadores utilizados para avaliar o desempenho de processos</t>
  </si>
  <si>
    <t>https://youtu.be/CGorCnJnATs</t>
  </si>
  <si>
    <t>2390P015261</t>
  </si>
  <si>
    <t>Identificar e entender a aplicação dos indicadores-chave de desempenho </t>
  </si>
  <si>
    <t>https://youtu.be/dGBcEYoxyNk</t>
  </si>
  <si>
    <t>2390P015262</t>
  </si>
  <si>
    <t>Praticar a definição e monitoramento de indicadores de desempenho</t>
  </si>
  <si>
    <t>https://youtu.be/VioMdJomgRo</t>
  </si>
  <si>
    <t>2390P015263</t>
  </si>
  <si>
    <t>Avaliando o desempenho do gerenciamento de processo</t>
  </si>
  <si>
    <t>https://youtu.be/9eQ--7QdVl0</t>
  </si>
  <si>
    <t>2390P015264</t>
  </si>
  <si>
    <t>Boas práticas e melhorias nos processos</t>
  </si>
  <si>
    <t>https://youtu.be/DK8l5nEmivM</t>
  </si>
  <si>
    <t>2390P015265</t>
  </si>
  <si>
    <t>Avaliar o desempenho do gerenciamento do processo</t>
  </si>
  <si>
    <t>https://youtu.be/udmTkxxDgko</t>
  </si>
  <si>
    <t>2390P015266</t>
  </si>
  <si>
    <t>Avaliação e melhoria contínua</t>
  </si>
  <si>
    <t>https://youtu.be/bgRNrHj2Uqs</t>
  </si>
  <si>
    <t>2390P015267</t>
  </si>
  <si>
    <t>Analisar os resultados dos indicadores de desempenho e tomar ações corretivas</t>
  </si>
  <si>
    <t>https://youtu.be/r_LbpEx2C94</t>
  </si>
  <si>
    <t>2390P015268</t>
  </si>
  <si>
    <t>Praticar a implementação de melhorias e ajustes nos processos</t>
  </si>
  <si>
    <t>https://youtu.be/-TAQZzXTL1I</t>
  </si>
  <si>
    <t>2390P015269</t>
  </si>
  <si>
    <t>https://youtu.be/QL7I0XRG4fA</t>
  </si>
  <si>
    <t>2390P015365</t>
  </si>
  <si>
    <t>Pressupostos do componente curricular</t>
  </si>
  <si>
    <t>Nesta videoaula, o professor Ronildo Alves dos Santos apresenta os pressupostos da disciplina Filosofia da Educação: o que é Filosofia; o que é Educação; e qual a relação entre Filosofia e Educação.</t>
  </si>
  <si>
    <t>https://youtu.be/qePxq_tcNR8</t>
  </si>
  <si>
    <t>2390P015366</t>
  </si>
  <si>
    <t>A natureza e a função da Filosofia da Educação</t>
  </si>
  <si>
    <t>O objetivo desta videoaula do professor Ronildo Alves dos Santos é falar sobre a natureza e a função da Filosofia da Educação. Para isso, ele inicia conceituando Filosofia da Educação para, depois, mostrar a importância desse campo do conhecimento na formação do educador.</t>
  </si>
  <si>
    <t>https://youtu.be/y5bCisfJz0U</t>
  </si>
  <si>
    <t>2390P015367</t>
  </si>
  <si>
    <t>Antropologia Filosófica e Educação</t>
  </si>
  <si>
    <t>A videoaula do professor Ronildo Alves dos Santos inicia apresentando o conceito de Antropologia Filosófica. Em seguida, o professor reflete sobre a questão da natureza humana e encerra abordando a relação entre Antropologia Filosófica e Educação.</t>
  </si>
  <si>
    <t>https://youtu.be/4MyqzWGmQLw</t>
  </si>
  <si>
    <t>2390P015368</t>
  </si>
  <si>
    <t>Platão e a natureza humana</t>
  </si>
  <si>
    <t>Nesta videoaula do professor Ronildo Alves dos Santos é discutida a ideia platônica de natureza humana e se mostra como essa ideia influencia o pensamento pedagógico ocidental e brasileiro.</t>
  </si>
  <si>
    <t>https://youtu.be/KsE7Zf43AKs</t>
  </si>
  <si>
    <t>2390P015369</t>
  </si>
  <si>
    <t>Epistemologia e Educação</t>
  </si>
  <si>
    <t>Nesta videoaula, o professor Ronildo Alves dos Santos inicia definindo Epistemologia para, em seguida, refletir sobre a relação da Educação com esse ramo da Filosofia.</t>
  </si>
  <si>
    <t>https://youtu.be/gC-5amhZQU4</t>
  </si>
  <si>
    <t>2390P015370</t>
  </si>
  <si>
    <t>O pensamento moderno</t>
  </si>
  <si>
    <t xml:space="preserve">O professor Marcio Gimenes de Paula, da Universidade de Brasília (UnB) é o convidado do professor Ronildo Alves dos Santos para discutir as perspectivas empirista e racionalista sobre o conhecimento e suas relações com a Educação. </t>
  </si>
  <si>
    <t>https://youtu.be/Gnp3p13y3OE</t>
  </si>
  <si>
    <t>2390P015371</t>
  </si>
  <si>
    <t>Educação como prática moral</t>
  </si>
  <si>
    <t>Nesta videoaula, o professor Ronildo Alves dos Santos inicia definindo Ética. Em seguida, ele apresenta os principais elementos envolvidos na reflexão ética e conclui apresentação a relação entre esse ramo da Filosofia e a Educação.</t>
  </si>
  <si>
    <t>https://youtu.be/udkFm4MxqRE</t>
  </si>
  <si>
    <t>2390P015372</t>
  </si>
  <si>
    <t>Sobre a distinção entre ética e moral</t>
  </si>
  <si>
    <t>O objetivo desta videoaula do professor Ronildo Alves dos Santos é apresentar os conceitos de ética e moral, mostrando que às vezes são vistos como equivalentes, mas que há pensadores que diferenciam um conceito do outro.</t>
  </si>
  <si>
    <t>https://youtu.be/TR90uwKSTO0</t>
  </si>
  <si>
    <t>2390P015373</t>
  </si>
  <si>
    <t>O pensamento pedagógico de Kant</t>
  </si>
  <si>
    <t>O professor Ronildo Alves dos Santos entrevista, nesta videoaula, o professor Rogério Basali, da Universidade de Brasília (UnB), para falar do pensamento pedagógico de Kant e de sua contribuição para pensar a realidade educacional brasileira.</t>
  </si>
  <si>
    <t>https://youtu.be/se4mJaIgY1k</t>
  </si>
  <si>
    <t>2390P015374</t>
  </si>
  <si>
    <t>Questões de Estética</t>
  </si>
  <si>
    <t>Partindo da definição de Estética, o professor Ronildo Alves dos Santos vai abordar, nesta videoaula, a relação da Educação com este outro ramo da Filosofia.</t>
  </si>
  <si>
    <t>https://youtu.be/hlcGaJyXwBE</t>
  </si>
  <si>
    <t>2390P015375</t>
  </si>
  <si>
    <t>Ensinar exige estética e ética</t>
  </si>
  <si>
    <t>Aristóteles Berino, professor da Universidade Federal Rural do Rio de Janeiro (UFRRJ), é o entrevistado do professor Ronildo Alves dos Santos para discutir, nesta videoaula, a perspectiva estética do pensamento de Paulo Freire.</t>
  </si>
  <si>
    <t>https://youtu.be/sFLqEZ7rwz8</t>
  </si>
  <si>
    <t>2390P015376</t>
  </si>
  <si>
    <t>Filosofia Política e Educação</t>
  </si>
  <si>
    <t>A relação entre Educação e a Filosofia Política, ou seja, a reflexão sobre a natureza da comunidade humana e do governo e das relações entre o coletivo e o individual, é o foco desta videoaula do professor Ronildo Alves dos Santos.</t>
  </si>
  <si>
    <t>https://youtu.be/69eB5fZCOQI</t>
  </si>
  <si>
    <t>2390P015377</t>
  </si>
  <si>
    <t>Democracia e Educação</t>
  </si>
  <si>
    <t>Para discutir o pensamento filosófico e pedagógico de John Dewey e sua influência na educação brasileira, o professor Ronildo Alves dos Santos entrevista Marcus Vinicius da Cunha, professor da Universidade de São Paulo (USP), campus de Ribeirão Preto.</t>
  </si>
  <si>
    <t>https://youtu.be/UdjoT95chbQ</t>
  </si>
  <si>
    <t>2390P015378</t>
  </si>
  <si>
    <t>Desafios contemporâneos para a Educação</t>
  </si>
  <si>
    <t>O foco desta videoaula do professor Ronildo Alves dos Santos é refletir sobre a Educação no contexto da pós-modernidade/modernidade líquida.</t>
  </si>
  <si>
    <t>https://youtu.be/35oI_ZlSix4</t>
  </si>
  <si>
    <t>2390P015379</t>
  </si>
  <si>
    <t>A Educação e o contemporâneo</t>
  </si>
  <si>
    <t>Professor visitante no Instituto de Estudos Avançados da Universidade de São Paulo (IEA/USP), Naomar de Almeida Filho é o entrevistado do professor Ronildo Alves dos Santos, nesta videoaula, para discutir a contribuição da Filosofia para responder aos desafios da Educação Básica.</t>
  </si>
  <si>
    <t>https://youtu.be/qLvYNsAE78E</t>
  </si>
  <si>
    <t>2390P015380</t>
  </si>
  <si>
    <t>Semana 0</t>
  </si>
  <si>
    <t>https://youtu.be/Oxw7icdPHAM</t>
  </si>
  <si>
    <t>2390P015238</t>
  </si>
  <si>
    <t>O campo teórico da Sociologia</t>
  </si>
  <si>
    <t xml:space="preserve">Nesta videoaula, o professor Eli Vagner Francisco Rodrigues define o campo teórico da sociologia. </t>
  </si>
  <si>
    <t>https://youtu.be/za59F7RGsfw</t>
  </si>
  <si>
    <t>2390P015224</t>
  </si>
  <si>
    <t>Conceitos fundamentais de sociologia</t>
  </si>
  <si>
    <t xml:space="preserve">Nesta videoaula, o professor Eli Vagner Francisco Rodrigues explica os conceitos fundamentais da sociologia. </t>
  </si>
  <si>
    <t>https://youtu.be/RQhBQByruPk</t>
  </si>
  <si>
    <t>2390P015225</t>
  </si>
  <si>
    <t>Autores Clássicos da sociologia parte 1</t>
  </si>
  <si>
    <t>Nesta videoaula, o professor Eli Vagner Francisco Rodrigues introduz o pensamento dos autores clássicos da sociologia: Karl Marx, Émile Durkheim e Max Weber, apresentando aspectos básicos das obras dos autores e conceitos fundamentais das contribuições dos chamados clássicos da sociologia.</t>
  </si>
  <si>
    <t>https://youtu.be/pnP2jg416Ak</t>
  </si>
  <si>
    <t>2390P015226</t>
  </si>
  <si>
    <t>Autores Clássicos da sociologia parte 2</t>
  </si>
  <si>
    <t>Nesta videoaula, o professor Eli Vagner Francisco Rodrigues define as linhas gerais de pensamento de Max Weber e Karl Marx, como as relações entre poder e sociedade, relações entre as classes sociais e formação da sociedade moderna.</t>
  </si>
  <si>
    <t>https://youtu.be/uab5s1Swj2w</t>
  </si>
  <si>
    <t>2390P015227</t>
  </si>
  <si>
    <t>A educação como fato e ​processo social</t>
  </si>
  <si>
    <t>Nesta videoaula, o professor Eli Vagner Francisco Rodrigues relaciona a sociologia com o estudo da educação, destacando o fenômeno da educação como um fato social a partir da conceituação da sociologia clássica.</t>
  </si>
  <si>
    <t>https://youtu.be/9Hu14Yc3Vnc</t>
  </si>
  <si>
    <t>2390P015228</t>
  </si>
  <si>
    <t>Sociologia da educação</t>
  </si>
  <si>
    <t>Nesta videoaula, o professor Eli Vagner Francisco Rodrigues define as abordagens da sociologia da educação a partir da conceituação da sociologia clássica.</t>
  </si>
  <si>
    <t>https://youtu.be/W4VuUggkHUk</t>
  </si>
  <si>
    <t>2390P015229</t>
  </si>
  <si>
    <t>Desigualdades sociais e Educação</t>
  </si>
  <si>
    <t>Nesta videoaula, o professor Eli Vagner Francisco Rodrigues aborda o tema das desigualdades sociais. Na maior parte das sociedades humanas conhecidas, sempre existiram desigualdades econômicas e sociais, e as causas dessas desigualdades são objetos de estudo da sociologia.</t>
  </si>
  <si>
    <t>https://youtu.be/1hlLJv2w62Q</t>
  </si>
  <si>
    <t>2390P015230</t>
  </si>
  <si>
    <t>Contrastes sociais</t>
  </si>
  <si>
    <t>Nesta videoaula, o professor Eli Vagner Francisco Rodrigues explica os contrastes sociais e suas origens.</t>
  </si>
  <si>
    <t>https://youtu.be/fgtdHvRWRw0</t>
  </si>
  <si>
    <t>2390P015231</t>
  </si>
  <si>
    <t>As instituições sociais</t>
  </si>
  <si>
    <t>Nesta videoaula, o professor Eli Vagner Francisco Rodrigues explica que as instituições sociais são organizações da sociedade que existem para que haja a organização e a coesão social. São elas que passam as regras e normas da sociedade para os cidadãos e os formam enquanto cidadãos pertencentes a determinado grupo social.</t>
  </si>
  <si>
    <t>https://youtu.be/ciSaIVaauH8</t>
  </si>
  <si>
    <t>2390P015232</t>
  </si>
  <si>
    <t>Escola como instituição social</t>
  </si>
  <si>
    <t>Nesta videoaula, o professor Eli Vagner Francisco Rodrigues mostra que a escola tem sido um dos objetos de estudo da sociologia da educação desde a institucionalização dessa ciência. Por seu papel como agente de socialização, que disputa com a família a transmissão de cultura do grupo às novas gerações, a escola adquiriu grande importância, particularmente, a partir do século XVII.</t>
  </si>
  <si>
    <t>https://youtu.be/D2RsNwBA3hA</t>
  </si>
  <si>
    <t>2390P015233</t>
  </si>
  <si>
    <t>Sociologia e crítica social</t>
  </si>
  <si>
    <t>Nesta videoaula, o professor Eli Vagner Francisco Rodrigues define algumas linhas de crítica social. O professor demonstra que a sociologia possui um aspecto científico de exame e análise da estrutura da sociedade moderna, mas também indica aspectos críticos que podem contribuir para o processo de mudança social, no sentido de um progresso humano e igualitário.</t>
  </si>
  <si>
    <t>https://youtu.be/Eth0JLP9H94</t>
  </si>
  <si>
    <t>2390P015234</t>
  </si>
  <si>
    <t>Crítica da escola como instituição</t>
  </si>
  <si>
    <r>
      <rPr>
        <sz val="11"/>
        <color rgb="FF000000"/>
        <rFont val="Calibri"/>
        <scheme val="minor"/>
      </rPr>
      <t xml:space="preserve">Nesta videoaula, o professor Eli Vagner Francisco Rodrigues apresenta a escola como objeto da crítica sociológica. O professor demonstra como alguns autores da sociologia apresentam a escola como uma instituição social que perpetua ideologias de hegemonia e dominação de algumas classes sociais sobre outras. A escola é apresentada como instituição que pode agir como um aparelho ideológico, seja do Estado, seja do </t>
    </r>
    <r>
      <rPr>
        <i/>
        <sz val="11"/>
        <color rgb="FF000000"/>
        <rFont val="Calibri"/>
        <scheme val="minor"/>
      </rPr>
      <t>status quo</t>
    </r>
    <r>
      <rPr>
        <sz val="11"/>
        <color rgb="FF000000"/>
        <rFont val="Calibri"/>
        <scheme val="minor"/>
      </rPr>
      <t xml:space="preserve">. </t>
    </r>
  </si>
  <si>
    <t>https://youtu.be/150ymqSZznc</t>
  </si>
  <si>
    <t>2390P015235</t>
  </si>
  <si>
    <t>Problemas da educação atual</t>
  </si>
  <si>
    <t>Nesta videoaula, o professor Eli Vagner Francisco Rodrigues discute alguns problemas sociais relacionados com a educação.</t>
  </si>
  <si>
    <t>https://youtu.be/RewLQeymic4</t>
  </si>
  <si>
    <t>2390P015236</t>
  </si>
  <si>
    <t>Perspectivas da sociologia da educação contemporânea</t>
  </si>
  <si>
    <t>Nesta videoaula, o professor Eli Vagner Francisco Rodrigues define abordagens sociológicas da educação.</t>
  </si>
  <si>
    <t>https://youtu.be/jFoYx7-iBSo</t>
  </si>
  <si>
    <t>2390P015237</t>
  </si>
  <si>
    <t>https://youtu.be/O1MaPB3X9bY</t>
  </si>
  <si>
    <t>2390P014608</t>
  </si>
  <si>
    <t>O que se entende por língua? </t>
  </si>
  <si>
    <t>Nesta videoaula, o professor Valteir Vaz faz uma introdução geral ao conceito de língua, ressaltando seu aspecto social e abstrato. Ressalta que uma língua não deve ser compreendida como propriedade particular, mas como um fato social ao dispor de seus falantes. A fim de sanar possíveis confusões conceituais, a videoaula apresenta uma distinção metodológica entre os conceitos de linguagem, língua e fala no âmbito da comunicação humana.     </t>
  </si>
  <si>
    <t>https://youtu.be/o4_rAvsfhL4</t>
  </si>
  <si>
    <t>2390P014609</t>
  </si>
  <si>
    <t>Compreendendo a noção de norma </t>
  </si>
  <si>
    <t>Nesta videoaula, o professor Valteir Vaz aborda duas noções do termo norma: a primeira entendida como modalidade linguística “normal”, “comum”, estabelecida a partir da frequência de uso; a segunda significação concebida como a utilização regrada (um imperativo), como uma modalidade que é conhecida apenas por alguns falantes.  </t>
  </si>
  <si>
    <t>https://youtu.be/BYbgvNpV8eg</t>
  </si>
  <si>
    <t>2390P014610</t>
  </si>
  <si>
    <t>Pra que serve uma gramática?</t>
  </si>
  <si>
    <t>https://youtu.be/mNCOUN539hA</t>
  </si>
  <si>
    <t>2390P014611</t>
  </si>
  <si>
    <t>A gramática: a sílaba, a palavra, a sentença, o léxico</t>
  </si>
  <si>
    <t>Nesta videoaula, o professor Valteir Vaz aborda o sistema gramatical da Língua Portuguesa e os subsistemas que o constituem. Os eixos centrais da videoaula são as noções de sílaba (Fonologia), palavra (Morfologia) sentença (Sintaxe). No âmbito da morfologia também é contemplado a noção de léxico que será utilizada na disciplina.</t>
  </si>
  <si>
    <t>https://youtu.be/pk8N9pULSs0</t>
  </si>
  <si>
    <t>2390P014612</t>
  </si>
  <si>
    <t xml:space="preserve">Morfema: uma primeira abordagem </t>
  </si>
  <si>
    <t>Nesta videoaula, o professor Valteir Vaz apresenta uma primeira abordagem do conceito de “morfema”, entendido aqui como a unidade mínima significativa da estrutura gramatical. Também ressalta que os morfemas, diferentemente dos fonemas, veiculam sentido. Eles são maiores que um fonema e menores que uma palavra, haja vista que uma palavra pode ser decomposta em mais de um morfema. O morfema, conforme abordado na videoaula, é realizado por meio de morfes e alomorfes.</t>
  </si>
  <si>
    <t>https://youtu.be/yRCJGX0ZxOM</t>
  </si>
  <si>
    <t>2390P014614</t>
  </si>
  <si>
    <t>Classificação dos morfemas I: radical, afixos, desinências   </t>
  </si>
  <si>
    <t xml:space="preserve">Nesta videoaula, o professor Valteir Vaz apresenta uma primeira classificação dos morfemas. Os temas aqui abordados são: radical, afixos, desinências. Para a fixação efetiva desses temas o professor apresenta vários exemplos de análise mórfica.   </t>
  </si>
  <si>
    <t>https://youtu.be/8cG0-tMCzik</t>
  </si>
  <si>
    <t>2390P014615</t>
  </si>
  <si>
    <t xml:space="preserve">Classificação dos morfemas II: Desinência de gênero e de número </t>
  </si>
  <si>
    <t xml:space="preserve">Nesta videoaula, o professor Valteir Vaz apresenta a segunda parte da classificação dos morfemas. Os temas aqui abordados são as desinências de gênero e número. Para a fixação efetiva desses temas o professor apresenta vários exemplos de análise mórfica.   </t>
  </si>
  <si>
    <t>https://youtu.be/TnEP3XVrCng</t>
  </si>
  <si>
    <t>2390P014616</t>
  </si>
  <si>
    <r>
      <t>Vogal temática: vogais temáticas nominais, verbais, vogais e consoantes de ligação.</t>
    </r>
    <r>
      <rPr>
        <b/>
        <sz val="12"/>
        <color theme="1"/>
        <rFont val="Calibri"/>
        <scheme val="minor"/>
      </rPr>
      <t xml:space="preserve"> </t>
    </r>
  </si>
  <si>
    <t>Nesta videoaula, o professor Valteir Vaz se concentra na noção de “vogal” no âmbito dos estudos morfológicos, explora particularmente as noções de vogal temática nominal e verbal. Outros fenômenos tratados são as vogais e as consoantes de ligação, fenômenos importantes na formação de palavras.</t>
  </si>
  <si>
    <t>https://youtu.be/UApdWR4l1yk</t>
  </si>
  <si>
    <t>2390P014617</t>
  </si>
  <si>
    <t>AULA 9</t>
  </si>
  <si>
    <t>Formação de palavra: derivação</t>
  </si>
  <si>
    <t xml:space="preserve">Apresentar os processos de derivação na  formação de palavras. </t>
  </si>
  <si>
    <t>https://youtu.be/QXMkFpu1pFQ</t>
  </si>
  <si>
    <t>2390P014618</t>
  </si>
  <si>
    <t xml:space="preserve">Formação de palavra: composição  </t>
  </si>
  <si>
    <t xml:space="preserve">Apresentar os processos de composição na  formação de palavras. </t>
  </si>
  <si>
    <t>https://youtu.be/608bnhJaJ6w</t>
  </si>
  <si>
    <t>2390P014619</t>
  </si>
  <si>
    <t>Flexão  e derivação:semelhanças e diferenças</t>
  </si>
  <si>
    <t xml:space="preserve">Apresentar a flexão e derivação no âmbito morfológico. </t>
  </si>
  <si>
    <t>https://youtu.be/c0uKGP3AbtM</t>
  </si>
  <si>
    <t>2390P014620</t>
  </si>
  <si>
    <t>O pronome e suas propriedades</t>
  </si>
  <si>
    <t xml:space="preserve">Apresentar a classe dos pronomes e suas subdivisões.  </t>
  </si>
  <si>
    <t>https://youtu.be/5hMJqXyfNEw</t>
  </si>
  <si>
    <t>2390P014621</t>
  </si>
  <si>
    <t>O verbo e suas propriedades</t>
  </si>
  <si>
    <t xml:space="preserve">Apresentar a classe dos verbos e suas subdivisões. </t>
  </si>
  <si>
    <t>https://youtu.be/fhXCwin1QPk</t>
  </si>
  <si>
    <t>2390P014622</t>
  </si>
  <si>
    <t>O artigo e suas propriedades</t>
  </si>
  <si>
    <t xml:space="preserve">Apresentar a classe dos artigos e suas subdivisões. </t>
  </si>
  <si>
    <t>https://youtu.be/hYvA9WpBpg8</t>
  </si>
  <si>
    <t>2390P014623</t>
  </si>
  <si>
    <t>O substantivo e suas propriedades</t>
  </si>
  <si>
    <t xml:space="preserve">Apresentar a classe dos substantivos e suas subdivisões. </t>
  </si>
  <si>
    <t>https://youtu.be/1AA7OJhmhSA</t>
  </si>
  <si>
    <t>2390P014624</t>
  </si>
  <si>
    <t>O adjetivo e suas propriedades</t>
  </si>
  <si>
    <t xml:space="preserve">Apresentar a classe dos adjetivos e suas subdivisões. </t>
  </si>
  <si>
    <t>https://youtu.be/6a2nszrBj-E</t>
  </si>
  <si>
    <t>2390P014625</t>
  </si>
  <si>
    <t>O advérbio e suas propriedades</t>
  </si>
  <si>
    <t xml:space="preserve">Apresentar a classe dos advérbios e suas subdivisões. </t>
  </si>
  <si>
    <t>https://youtu.be/XpbqBBJcgtc</t>
  </si>
  <si>
    <t>2390P014626</t>
  </si>
  <si>
    <t>A preposição e a conjunções e suas propriedades</t>
  </si>
  <si>
    <t xml:space="preserve">Apresentar a classe das preposições e conjunções e suas subdivisões. </t>
  </si>
  <si>
    <t>https://youtu.be/JVoNCsjCclM</t>
  </si>
  <si>
    <t>2390P014627</t>
  </si>
  <si>
    <t>O tópico "morfologia" na BNCC</t>
  </si>
  <si>
    <t xml:space="preserve">Apresentar a abordagem dada pela BNCC ao tema da morfologia. </t>
  </si>
  <si>
    <t>https://youtu.be/AX5xdl6Or58</t>
  </si>
  <si>
    <t>2390P014628</t>
  </si>
  <si>
    <t xml:space="preserve">Abordagens morfológicas em aulas de Língua Portuguesa </t>
  </si>
  <si>
    <t xml:space="preserve">Apresentar diversas abordagens do tema "morfologia" em aulas dos ensinos fundamental e médio. Refletir sobre o papel relevante da morfologia na produção textual. </t>
  </si>
  <si>
    <t>https://youtu.be/UP2KhqHWJig</t>
  </si>
  <si>
    <t>2390P014629</t>
  </si>
  <si>
    <t>https://youtu.be/LB8gqZLpyyw</t>
  </si>
  <si>
    <t>2390P014053</t>
  </si>
  <si>
    <t>Introdução aos Vetores</t>
  </si>
  <si>
    <t>Aula com chroma</t>
  </si>
  <si>
    <t>https://youtu.be/dduzDVf0P0k</t>
  </si>
  <si>
    <t>2390P014054</t>
  </si>
  <si>
    <t>Operações com vetores</t>
  </si>
  <si>
    <t>https://youtu.be/U9PJ_FT4ImE</t>
  </si>
  <si>
    <t>2390P014055</t>
  </si>
  <si>
    <t>Vetores no plano e no espaço</t>
  </si>
  <si>
    <t>https://youtu.be/b2wm-0y9_cs</t>
  </si>
  <si>
    <t>2390P014056</t>
  </si>
  <si>
    <t>Dependência Linear e combinação linear.</t>
  </si>
  <si>
    <t>https://youtu.be/j_oUecCIpmQ</t>
  </si>
  <si>
    <t>2390P014057</t>
  </si>
  <si>
    <t>Base e dimensão</t>
  </si>
  <si>
    <t>https://youtu.be/N9lpd6ZZRpo</t>
  </si>
  <si>
    <t>2390P014058</t>
  </si>
  <si>
    <t>Produto Escalar</t>
  </si>
  <si>
    <t>https://youtu.be/CKl3xYWrQRQ</t>
  </si>
  <si>
    <t>2390P014059</t>
  </si>
  <si>
    <t>Produto Vetorial</t>
  </si>
  <si>
    <t>https://youtu.be/76LGMBCxvNE</t>
  </si>
  <si>
    <t>2390P014060</t>
  </si>
  <si>
    <t>Produto Misto</t>
  </si>
  <si>
    <t>https://youtu.be/bn-7dvDkL9Y</t>
  </si>
  <si>
    <t>2390P014439</t>
  </si>
  <si>
    <t>Equações da reta</t>
  </si>
  <si>
    <t>https://youtu.be/DPyCuyDJ35Q</t>
  </si>
  <si>
    <t>2390P014440</t>
  </si>
  <si>
    <t>Posição relativa entre retas</t>
  </si>
  <si>
    <t>https://youtu.be/iVnxx-37lfg</t>
  </si>
  <si>
    <t>2390P014441</t>
  </si>
  <si>
    <t>Equação do plano e posição relativa entre retas e planos</t>
  </si>
  <si>
    <t>https://youtu.be/qmjAfSOdpHg</t>
  </si>
  <si>
    <t>2390P014442</t>
  </si>
  <si>
    <t>Distância entre um ponto e uma reta</t>
  </si>
  <si>
    <t>https://youtu.be/hFwGKXwiRTI</t>
  </si>
  <si>
    <t>2390P014443</t>
  </si>
  <si>
    <t>Distância entre retas</t>
  </si>
  <si>
    <t>https://youtu.be/a2qh_prIjag</t>
  </si>
  <si>
    <t>2390P014444</t>
  </si>
  <si>
    <t>Distância de um ponto a um plano, de reta a um plano e entre planos</t>
  </si>
  <si>
    <t>https://youtu.be/eNWh-_4q6wA</t>
  </si>
  <si>
    <t>2390P014445</t>
  </si>
  <si>
    <t>As seções cônicas: Introdução</t>
  </si>
  <si>
    <t>https://youtu.be/E2f9f6A0LA0</t>
  </si>
  <si>
    <t>2390P015386</t>
  </si>
  <si>
    <t>Parábola</t>
  </si>
  <si>
    <t>https://youtu.be/F8z-rgjN3a8</t>
  </si>
  <si>
    <t>2390P014531</t>
  </si>
  <si>
    <t>Elipse</t>
  </si>
  <si>
    <t>https://youtu.be/MiJLJmQTvqQ</t>
  </si>
  <si>
    <t>2390P014532</t>
  </si>
  <si>
    <t>Hipérbole</t>
  </si>
  <si>
    <t>https://youtu.be/Hs9GJ8-o_d0</t>
  </si>
  <si>
    <t>2390P014533</t>
  </si>
  <si>
    <t>Uso do Geogebra e Phet Colorado para resolver problemas de Geometria Analítica</t>
  </si>
  <si>
    <t>https://youtu.be/74-btWAMY4E</t>
  </si>
  <si>
    <t>2390P014534</t>
  </si>
  <si>
    <t>Uso do Wolfram Alpha para resolver problemas de Geometria Analítica</t>
  </si>
  <si>
    <t>https://youtu.be/DFIFkzsDLXw</t>
  </si>
  <si>
    <t>2390P015271</t>
  </si>
  <si>
    <t>Informática aplicada na educação matemática</t>
  </si>
  <si>
    <t>https://youtu.be/tbzwDCKVhzo</t>
  </si>
  <si>
    <t>2390P014536</t>
  </si>
  <si>
    <t>TV ACESSIBILIDADE</t>
  </si>
  <si>
    <t>MONTAGEM</t>
  </si>
  <si>
    <t>Semana</t>
  </si>
  <si>
    <t>N° de aulas</t>
  </si>
  <si>
    <t>Título</t>
  </si>
  <si>
    <t>Link Original</t>
  </si>
  <si>
    <t>Link Libras</t>
  </si>
  <si>
    <t>Link Audiodescrição</t>
  </si>
  <si>
    <t>Legendas REVISADAS</t>
  </si>
  <si>
    <t>Foi inserido no ava?</t>
  </si>
  <si>
    <t>Tempo e relógio atômico</t>
  </si>
  <si>
    <t>https://youtu.be/xfvYYbW9GEo</t>
  </si>
  <si>
    <t>https://youtu.be/SZZnYoplAQQ</t>
  </si>
  <si>
    <t xml:space="preserve">Espaço, Tempo e matéria - Referências e Coordenadas
</t>
  </si>
  <si>
    <t>https://youtu.be/vhr56G8ZtuU</t>
  </si>
  <si>
    <t>https://youtu.be/pOk5GaXOufM</t>
  </si>
  <si>
    <t>Algarismos significativos e Incertezas - Exercícios</t>
  </si>
  <si>
    <t>https://youtu.be/IMMMMnZHhOE</t>
  </si>
  <si>
    <t>https://youtu.be/UtMleuWiH38</t>
  </si>
  <si>
    <t>Conceitos de cinemática - Parte 1</t>
  </si>
  <si>
    <t>https://youtu.be/1OLBTHDqWIE</t>
  </si>
  <si>
    <t>https://youtu.be/zOwdV125Opg</t>
  </si>
  <si>
    <t>Conceitos de cinemática - Parte 2</t>
  </si>
  <si>
    <t>https://youtu.be/XKZQotDgj64</t>
  </si>
  <si>
    <t>https://youtu.be/XxHS3jneAOc</t>
  </si>
  <si>
    <t>Conceitos de cinemática - Parte 3</t>
  </si>
  <si>
    <t>https://youtu.be/pZcxF2a2-qs</t>
  </si>
  <si>
    <t>https://youtu.be/vACNJ5yrXi0</t>
  </si>
  <si>
    <t>Forças, Newton e Dinâmica</t>
  </si>
  <si>
    <t>https://youtu.be/2QC5iCTR8z0</t>
  </si>
  <si>
    <t>https://youtu.be/qgTzmDkSAvg</t>
  </si>
  <si>
    <t>Forças</t>
  </si>
  <si>
    <t>https://youtu.be/GcVyR_GB1GY</t>
  </si>
  <si>
    <t>https://youtu.be/O0IQBqg-IfY</t>
  </si>
  <si>
    <t>Leis de Newton</t>
  </si>
  <si>
    <t>https://youtu.be/1fT1nVfbW-4</t>
  </si>
  <si>
    <t>https://youtu.be/zIQLfrJQcBw</t>
  </si>
  <si>
    <t>Energia e transformação de Energia</t>
  </si>
  <si>
    <t>https://youtu.be/kSpLKZaW0XQ</t>
  </si>
  <si>
    <t>https://youtu.be/QF01omZuWkA</t>
  </si>
  <si>
    <t>Energia</t>
  </si>
  <si>
    <t>https://youtu.be/knhR38J1kOc</t>
  </si>
  <si>
    <t>https://youtu.be/dHERTiEkYes</t>
  </si>
  <si>
    <t>Energia, Potência e Conservação da Energia</t>
  </si>
  <si>
    <t>https://youtu.be/uqI_SgYWBYs</t>
  </si>
  <si>
    <t>https://youtu.be/jQH6o6PyynI</t>
  </si>
  <si>
    <t>Sistemas de partículas e colisões</t>
  </si>
  <si>
    <t>https://youtu.be/cHDO0BYTWO0</t>
  </si>
  <si>
    <t>https://youtu.be/U5kalb0Mc14</t>
  </si>
  <si>
    <t>Conservação do momento linear</t>
  </si>
  <si>
    <t>https://youtu.be/wiY1gEgx5x0</t>
  </si>
  <si>
    <t>https://youtu.be/ec_Gyml_Emk</t>
  </si>
  <si>
    <t>Sistemas de partículas e colisões - Exemplos</t>
  </si>
  <si>
    <t>https://youtu.be/UgnDsZFU8Ys</t>
  </si>
  <si>
    <t>https://youtu.be/yz007Fxx3ts</t>
  </si>
  <si>
    <t>Equilíbrio</t>
  </si>
  <si>
    <t>https://youtu.be/n80xhVGCe1g</t>
  </si>
  <si>
    <t>https://youtu.be/WNWkud-yHTk</t>
  </si>
  <si>
    <t>Estruturas indeterminadas</t>
  </si>
  <si>
    <t>https://youtu.be/NX25B_t3FjU</t>
  </si>
  <si>
    <t>https://youtu.be/sxZ4Rs9Wntc</t>
  </si>
  <si>
    <t>Casos especiais</t>
  </si>
  <si>
    <t>https://youtu.be/EDbHjw1VbcI</t>
  </si>
  <si>
    <t>https://youtu.be/L0XhNOlsOkM</t>
  </si>
  <si>
    <t>Astronomia e Gravitação Universal</t>
  </si>
  <si>
    <t>https://youtu.be/7L8GfjQmRAo</t>
  </si>
  <si>
    <t>https://youtu.be/jgsMR7p7JoE</t>
  </si>
  <si>
    <t>Gravitação</t>
  </si>
  <si>
    <t>https://youtu.be/AHjQLFmXPJc</t>
  </si>
  <si>
    <t>https://youtu.be/N7AMgXzmkbU</t>
  </si>
  <si>
    <t>Leis de Kepler</t>
  </si>
  <si>
    <t>https://youtu.be/Zp1eKN0a4S4</t>
  </si>
  <si>
    <t>https://youtu.be/VkmD1KdrsiQ</t>
  </si>
  <si>
    <t>Costurando 1</t>
  </si>
  <si>
    <t>Costurando - Semana 1</t>
  </si>
  <si>
    <t>https://youtu.be/D8-PdKrR-D8</t>
  </si>
  <si>
    <t>https://youtu.be/DIHlOzOvEu8</t>
  </si>
  <si>
    <t>https://youtu.be/Fbpwjz96iSQ</t>
  </si>
  <si>
    <t>Perspectiva histórica da construção dos números e da teoria dos conjuntos</t>
  </si>
  <si>
    <t>https://youtu.be/iFW8gm-zoR4</t>
  </si>
  <si>
    <t>https://youtu.be/2oTRIPxK2PE</t>
  </si>
  <si>
    <t>https://youtu.be/6_36XTd4WdU</t>
  </si>
  <si>
    <t>Noções iniciais de Conjuntos – Parte 1</t>
  </si>
  <si>
    <t>https://youtu.be/yzpiMJW3CzM</t>
  </si>
  <si>
    <t>https://youtu.be/r2oXE6wnv3c</t>
  </si>
  <si>
    <t>https://youtu.be/YpEZQK_y-P4</t>
  </si>
  <si>
    <t>Noções iniciais de Conjuntos – Parte 2</t>
  </si>
  <si>
    <t>https://youtu.be/8O5K-bQQ97o</t>
  </si>
  <si>
    <t>https://youtu.be/2WjQIfth1iw</t>
  </si>
  <si>
    <t>https://youtu.be/j4VbGlaUP-o</t>
  </si>
  <si>
    <t>Costurando 2</t>
  </si>
  <si>
    <t>Costurando - Semana 2</t>
  </si>
  <si>
    <t>https://youtu.be/1rq2pdPpdmI</t>
  </si>
  <si>
    <t>https://youtu.be/jt8QmHb4sxI</t>
  </si>
  <si>
    <t>https://youtu.be/7E1UWUz4PFA</t>
  </si>
  <si>
    <t>Noções de Lógica</t>
  </si>
  <si>
    <t>https://youtu.be/I9npqB-KkSE</t>
  </si>
  <si>
    <t>https://youtu.be/wozD-nY2ITI</t>
  </si>
  <si>
    <t>https://youtu.be/MFc5mbaNtw4</t>
  </si>
  <si>
    <t>Conjuntos numéricos – parte 1</t>
  </si>
  <si>
    <t>https://youtu.be/F0c9YLIq5dU</t>
  </si>
  <si>
    <t>https://youtu.be/A1VO9af4rxA</t>
  </si>
  <si>
    <t>https://youtu.be/CsCz9-i58s8</t>
  </si>
  <si>
    <t>Conjuntos numéricos – parte 2</t>
  </si>
  <si>
    <t>https://youtu.be/VWFaoQPaxmk</t>
  </si>
  <si>
    <t>https://youtu.be/26zpa9b46-A</t>
  </si>
  <si>
    <t>https://youtu.be/undJHG0luf8</t>
  </si>
  <si>
    <t>Costurando 3</t>
  </si>
  <si>
    <t>Costurando - Semana 3</t>
  </si>
  <si>
    <t>https://youtu.be/xdHTggX-OCA</t>
  </si>
  <si>
    <t>https://youtu.be/7NLioFN6vzM</t>
  </si>
  <si>
    <t>https://youtu.be/6y1l97oX5vI</t>
  </si>
  <si>
    <t>Divisibilidade</t>
  </si>
  <si>
    <t>https://youtu.be/gcaL43wVftc</t>
  </si>
  <si>
    <t>https://youtu.be/pSbMKd3Yv0k</t>
  </si>
  <si>
    <t>https://youtu.be/72vWt0JKPrY</t>
  </si>
  <si>
    <t>Frações</t>
  </si>
  <si>
    <t>https://youtu.be/HP46l0XzsEM</t>
  </si>
  <si>
    <t>https://youtu.be/p-uMa0XPQIc</t>
  </si>
  <si>
    <t>https://youtu.be/GrNFug-Ju28</t>
  </si>
  <si>
    <t>Costurando 4</t>
  </si>
  <si>
    <t>Costurando - Semana 4</t>
  </si>
  <si>
    <t>https://youtu.be/4ZGGSvfMQPQ</t>
  </si>
  <si>
    <t>https://youtu.be/_nuLbDZO20c</t>
  </si>
  <si>
    <t>https://youtu.be/IFXHCliZkzg</t>
  </si>
  <si>
    <t>Operações com frações</t>
  </si>
  <si>
    <t>https://youtu.be/Koqt286csj0</t>
  </si>
  <si>
    <t>https://youtu.be/ziDgbH5PC1A</t>
  </si>
  <si>
    <t>https://youtu.be/6uGcTooN5u4</t>
  </si>
  <si>
    <t>Potenciação e Radiciação</t>
  </si>
  <si>
    <t>https://youtu.be/CDoENi_jWAY</t>
  </si>
  <si>
    <t>https://youtu.be/xMKQo5QAzAk</t>
  </si>
  <si>
    <t>https://youtu.be/Z-HoXmj3AZQ</t>
  </si>
  <si>
    <t>Notação científica</t>
  </si>
  <si>
    <t>https://youtu.be/bDVrHTuVaxM</t>
  </si>
  <si>
    <t>https://youtu.be/mzEXdwdWM6s</t>
  </si>
  <si>
    <t>https://youtu.be/0sSHxo6ot5U</t>
  </si>
  <si>
    <t>Costurando 5</t>
  </si>
  <si>
    <t>Costurando - Semana 5</t>
  </si>
  <si>
    <t>https://youtu.be/uhrlhquQQjM</t>
  </si>
  <si>
    <t>https://youtu.be/0scuiEF5dtE</t>
  </si>
  <si>
    <t>https://youtu.be/r3dCmYxuXLk</t>
  </si>
  <si>
    <t>Expressões numéricas</t>
  </si>
  <si>
    <t>https://youtu.be/n_rZc8IRGHM</t>
  </si>
  <si>
    <t>https://youtu.be/OtM4zPldSOU</t>
  </si>
  <si>
    <t>https://youtu.be/8-6M1HsL0Tg</t>
  </si>
  <si>
    <t>Expressões numéricas: exercícios</t>
  </si>
  <si>
    <t>https://youtu.be/k3FbgsVb6DM</t>
  </si>
  <si>
    <t>https://youtu.be/CpWQrmtUe48</t>
  </si>
  <si>
    <t>https://youtu.be/rxQIqGlHJoo</t>
  </si>
  <si>
    <t>Razão e Proporção</t>
  </si>
  <si>
    <t>https://youtu.be/fmtL8_lkOCM</t>
  </si>
  <si>
    <t>https://youtu.be/YjPyFHUMxRc</t>
  </si>
  <si>
    <t>https://youtu.be/iAEzBrtgOVM</t>
  </si>
  <si>
    <t>Razão e Proporção - Exercícios</t>
  </si>
  <si>
    <t>https://youtu.be/EggCD5WZmEI</t>
  </si>
  <si>
    <t>https://youtu.be/kRzHKilMZ8o</t>
  </si>
  <si>
    <t>https://youtu.be/aHeuWRRkDI8</t>
  </si>
  <si>
    <t>Costurando 6</t>
  </si>
  <si>
    <t>Costurando - Semana 6</t>
  </si>
  <si>
    <t>https://youtu.be/tejNGd5477g</t>
  </si>
  <si>
    <t>https://youtu.be/BxvGJ7Fj0Ts</t>
  </si>
  <si>
    <t>https://youtu.be/6oCfnDFfew0</t>
  </si>
  <si>
    <t>Grandezas Proporcionais</t>
  </si>
  <si>
    <t>https://youtu.be/gXU2xZ5sR74</t>
  </si>
  <si>
    <t>https://youtu.be/7j5YxgX-wxE</t>
  </si>
  <si>
    <t>https://youtu.be/GlyuRNCy37A</t>
  </si>
  <si>
    <t>Regra de Três</t>
  </si>
  <si>
    <t>https://youtu.be/LyJDqKXwHK4</t>
  </si>
  <si>
    <t>https://youtu.be/7_gtJPblld4</t>
  </si>
  <si>
    <t>https://youtu.be/w8o-dyXii8A</t>
  </si>
  <si>
    <t>Costurando 7</t>
  </si>
  <si>
    <t>Costurando - Semana 7</t>
  </si>
  <si>
    <t>https://youtu.be/8Tnm2HBv12w</t>
  </si>
  <si>
    <t>https://youtu.be/ztZHBuqVnaE</t>
  </si>
  <si>
    <t>https://youtu.be/2Pr5pGdhSsM</t>
  </si>
  <si>
    <t>Regra de Três: problemas</t>
  </si>
  <si>
    <t>https://youtu.be/T-5HSfZGKO0</t>
  </si>
  <si>
    <t>https://youtu.be/vdEzQms2Liw</t>
  </si>
  <si>
    <t>https://youtu.be/ygycCSKz7ds</t>
  </si>
  <si>
    <t>Porcentagem</t>
  </si>
  <si>
    <t>https://youtu.be/RSs7GY-0Itw</t>
  </si>
  <si>
    <t>https://youtu.be/w0KQvLcPjw0</t>
  </si>
  <si>
    <t>https://youtu.be/i27zek2KvvQ</t>
  </si>
  <si>
    <t>Costurando 8</t>
  </si>
  <si>
    <t>Costurando - Semana 8</t>
  </si>
  <si>
    <t>https://youtu.be/TjUW0QCRbqc</t>
  </si>
  <si>
    <t>https://youtu.be/Pposo6gK2TU</t>
  </si>
  <si>
    <t>https://youtu.be/3WppwJwFHVc</t>
  </si>
  <si>
    <t>Porcentagem: problemas</t>
  </si>
  <si>
    <t>https://youtu.be/Ot241-L6KbA</t>
  </si>
  <si>
    <t>https://youtu.be/ceyS_YTfkm0</t>
  </si>
  <si>
    <t>https://youtu.be/Q1Y3IlC95qg</t>
  </si>
  <si>
    <t>Relações entre porcentagem e regra de três</t>
  </si>
  <si>
    <t>https://youtu.be/y2CIlCDWAdw</t>
  </si>
  <si>
    <t>https://youtu.be/R8_NWpR83qE</t>
  </si>
  <si>
    <t>https://youtu.be/f_UmglLrZSM</t>
  </si>
  <si>
    <t xml:space="preserve">Semana 1 </t>
  </si>
  <si>
    <t>https://youtu.be/rUhLsca4UGY</t>
  </si>
  <si>
    <t>https://youtu.be/PmcuEtCyScA</t>
  </si>
  <si>
    <t>https://youtu.be/_p46SBZc4f8</t>
  </si>
  <si>
    <t>Abordagens da educação de surdos</t>
  </si>
  <si>
    <t>https://youtu.be/6ZKi1TborVg</t>
  </si>
  <si>
    <t>https://youtu.be/ZHmElaAAmS8</t>
  </si>
  <si>
    <t>https://youtu.be/BcEFyFcVirI</t>
  </si>
  <si>
    <t>A educação bilíngue de surdos</t>
  </si>
  <si>
    <t>https://youtu.be/56K0T80zjOQ</t>
  </si>
  <si>
    <t>https://youtu.be/KY6g97pcGMI</t>
  </si>
  <si>
    <t>https://youtu.be/1yK_UXQWrk0</t>
  </si>
  <si>
    <t>https://youtu.be/QeeqTSRLStY</t>
  </si>
  <si>
    <t>https://youtu.be/vMVNXEr6JXA</t>
  </si>
  <si>
    <t>https://youtu.be/xNPmh1TMndc</t>
  </si>
  <si>
    <t>A Libras como língua</t>
  </si>
  <si>
    <t>https://youtu.be/UiL18gJRq7k</t>
  </si>
  <si>
    <t>https://youtu.be/EI6vKaoKdjo</t>
  </si>
  <si>
    <t>https://youtu.be/xJNt4tPGOiU</t>
  </si>
  <si>
    <t>Língua oral auditiva X Língua visual-espacial</t>
  </si>
  <si>
    <t>https://youtu.be/bEoXtI62BEU</t>
  </si>
  <si>
    <t>https://youtu.be/kDbsbHcaR_E</t>
  </si>
  <si>
    <t>https://youtu.be/DGzGQQRrDYs</t>
  </si>
  <si>
    <t>Diferentes línguas de sinais</t>
  </si>
  <si>
    <t>https://youtu.be/dkAszUX3bC4</t>
  </si>
  <si>
    <t>https://youtu.be/tA1vgWD15Ts</t>
  </si>
  <si>
    <t>https://youtu.be/K48tuhMSbSk</t>
  </si>
  <si>
    <t>https://youtu.be/bgqItnu9aF8</t>
  </si>
  <si>
    <t>https://youtu.be/7lNMHKU4PdI</t>
  </si>
  <si>
    <t>https://youtu.be/owKfhD4Qxjc</t>
  </si>
  <si>
    <t>Estudantes surdos em famílias ouvintes</t>
  </si>
  <si>
    <t>https://youtu.be/I1PdweOpHj4</t>
  </si>
  <si>
    <t>https://youtu.be/uFZvFJiez0c</t>
  </si>
  <si>
    <t>https://youtu.be/DYB1hSYE_sg</t>
  </si>
  <si>
    <t>Libras como língua natural</t>
  </si>
  <si>
    <t>https://youtu.be/4X0Q72gNVsk</t>
  </si>
  <si>
    <t>https://youtu.be/5fgBkq6W5Y8</t>
  </si>
  <si>
    <t>https://youtu.be/uYH1yI-9kQ8</t>
  </si>
  <si>
    <t>Cultura Surda: aprendizagem da Libras como língua natural</t>
  </si>
  <si>
    <t>https://youtu.be/Bxu0SV52KAs</t>
  </si>
  <si>
    <t>https://youtu.be/lra8zPRrv20</t>
  </si>
  <si>
    <t>https://youtu.be/R66OoqwVV9I</t>
  </si>
  <si>
    <t>https://youtu.be/Vcwfga4A17M</t>
  </si>
  <si>
    <t>https://youtu.be/EsCshoZWZ8s</t>
  </si>
  <si>
    <t>https://youtu.be/ic0KS0wgB4s</t>
  </si>
  <si>
    <t>A relação pensamento e sinal</t>
  </si>
  <si>
    <t>https://youtu.be/kQ7mE5d39UQ</t>
  </si>
  <si>
    <t>https://youtu.be/fsJcVbDpAOE</t>
  </si>
  <si>
    <t>https://youtu.be/pwf84732EIQ</t>
  </si>
  <si>
    <t>Formação de conceitos cotidianos</t>
  </si>
  <si>
    <t>https://youtu.be/j4TPE6ZV4nw</t>
  </si>
  <si>
    <t>https://youtu.be/Tx0bsvD5yJg</t>
  </si>
  <si>
    <t>https://youtu.be/N2ofOSCBw7g</t>
  </si>
  <si>
    <t>Formação de conceitos científicos</t>
  </si>
  <si>
    <t>https://youtu.be/8ozOKLt9jns</t>
  </si>
  <si>
    <t>https://youtu.be/qnN4eN0ZEXw</t>
  </si>
  <si>
    <t>https://youtu.be/jEX7a7oMnVI</t>
  </si>
  <si>
    <t>https://youtu.be/n7V0hGj2oww</t>
  </si>
  <si>
    <t>https://youtu.be/aKgL7_FxHd0</t>
  </si>
  <si>
    <t>https://youtu.be/TFNqFqL6mpw</t>
  </si>
  <si>
    <t>A escolarização de estudantes surdos</t>
  </si>
  <si>
    <t>https://youtu.be/yMwbubUlmgM</t>
  </si>
  <si>
    <t>https://youtu.be/ryLa0Z2v6aw</t>
  </si>
  <si>
    <t>https://youtu.be/td43TqnUDts</t>
  </si>
  <si>
    <t>Desconstruindo mitos</t>
  </si>
  <si>
    <t>https://youtu.be/S9EcaMVmphg</t>
  </si>
  <si>
    <t>https://youtu.be/HPPOkaDs2lA</t>
  </si>
  <si>
    <t>https://youtu.be/JG1WXTuM_TA</t>
  </si>
  <si>
    <t>Avanços na escolarização de estudantes surdos</t>
  </si>
  <si>
    <t>https://youtu.be/mqlxbD7jEcg</t>
  </si>
  <si>
    <t>https://youtu.be/CEoGnv7J500</t>
  </si>
  <si>
    <t>https://youtu.be/6A4c0YofrrI</t>
  </si>
  <si>
    <t>https://youtu.be/c4EAxiUJUow</t>
  </si>
  <si>
    <t>https://youtu.be/3kuyUNfIcjU</t>
  </si>
  <si>
    <t>https://youtu.be/PYJHce9r2AA</t>
  </si>
  <si>
    <t>Ensino da LIBRAS como L1</t>
  </si>
  <si>
    <t>https://youtu.be/_9UNaPqwEgQ</t>
  </si>
  <si>
    <t>https://youtu.be/TXqAig39h68</t>
  </si>
  <si>
    <t>https://youtu.be/36EWnhPrnO0</t>
  </si>
  <si>
    <t>Libras como língua de instrução</t>
  </si>
  <si>
    <t>https://youtu.be/yNOOqIk-YCc</t>
  </si>
  <si>
    <t>https://youtu.be/CaNChuUXOtY</t>
  </si>
  <si>
    <t>https://youtu.be/82y3yhHTRAs</t>
  </si>
  <si>
    <t>Os usos das línguas no espaço escolar bilíngue para surdos</t>
  </si>
  <si>
    <t>https://youtu.be/-eFyit2BXR8</t>
  </si>
  <si>
    <t>https://youtu.be/ayBVNwqY4nc</t>
  </si>
  <si>
    <t>https://youtu.be/7JFNxWHJYVY</t>
  </si>
  <si>
    <t>https://youtu.be/vK9YB-WicmM</t>
  </si>
  <si>
    <t>https://youtu.be/FPk8aEQwa5g</t>
  </si>
  <si>
    <t>https://youtu.be/BgDDyE-DQHc</t>
  </si>
  <si>
    <t>O ensino da Língua Portuguesa como L2</t>
  </si>
  <si>
    <t>https://youtu.be/6ynVUQF3YlU</t>
  </si>
  <si>
    <t>https://youtu.be/Dz2B1A0sBJg</t>
  </si>
  <si>
    <t>https://youtu.be/za4pTvjjsRE</t>
  </si>
  <si>
    <t>Atividades para o ensino do Português para surdos</t>
  </si>
  <si>
    <t>https://youtu.be/5qT4xo8dY4Q</t>
  </si>
  <si>
    <t>https://youtu.be/ZITSU24h2_I</t>
  </si>
  <si>
    <t>https://youtu.be/PDIQUj5V5GU</t>
  </si>
  <si>
    <t>Desafios para o ensino bilíngue para surdos</t>
  </si>
  <si>
    <t>https://youtu.be/OMdygCJ_4Dc</t>
  </si>
  <si>
    <t>https://youtu.be/aS1n-GmfeSM</t>
  </si>
  <si>
    <t>https://youtu.be/oLSGM4pp_e0</t>
  </si>
  <si>
    <t>https://youtu.be/JO786bTVnlM</t>
  </si>
  <si>
    <t>https://youtu.be/Trr20PZol9w</t>
  </si>
  <si>
    <t>https://youtu.be/iS1MKHfSwpc</t>
  </si>
  <si>
    <t>O brincar na educação infantil</t>
  </si>
  <si>
    <t>https://youtu.be/sLSixZwhZ4A</t>
  </si>
  <si>
    <t>https://youtu.be/0TDOmr6ggzM</t>
  </si>
  <si>
    <t>https://youtu.be/q8QTZU23Htk</t>
  </si>
  <si>
    <t>Teorias sobre o desenvolvimento e as experiências de aprendizagem das crianças de 0 a 6 anos</t>
  </si>
  <si>
    <t>https://youtu.be/kp_siNUY3oY</t>
  </si>
  <si>
    <t>https://youtu.be/2O-Yqg_mtHg</t>
  </si>
  <si>
    <t>https://youtu.be/Awf-DbjFLKo</t>
  </si>
  <si>
    <t>Proposta pedagógica: definição, elaboração, implementação e avaliação</t>
  </si>
  <si>
    <t>https://youtu.be/aitDZifY8hc</t>
  </si>
  <si>
    <t>https://youtu.be/G7CCtSk4Go0</t>
  </si>
  <si>
    <t>https://youtu.be/vZ3jjdhLIRA</t>
  </si>
  <si>
    <t>Organização do trabalho pedagógico: planejamento, observação e registro</t>
  </si>
  <si>
    <t>https://youtu.be/HdOyNOKxeQY</t>
  </si>
  <si>
    <t>https://youtu.be/gNujhG6ItAs</t>
  </si>
  <si>
    <t>https://youtu.be/WxsALQTbros</t>
  </si>
  <si>
    <t>Organização do espaço pedagógico: ambientes, espaços e materiais</t>
  </si>
  <si>
    <t>https://youtu.be/j62DYUW4Dgs</t>
  </si>
  <si>
    <t>https://youtu.be/d-0SsFOMsRo</t>
  </si>
  <si>
    <t>https://youtu.be/VrMoa_R--8Y</t>
  </si>
  <si>
    <t>Organização do trabalho pedagógico: tempos, rotina e metodologias de aprendizagem</t>
  </si>
  <si>
    <t>https://youtu.be/iI0vJ_0b-nE</t>
  </si>
  <si>
    <t>https://youtu.be/SLBsZQVjdbM</t>
  </si>
  <si>
    <t>https://youtu.be/SngBJ_PUFgI</t>
  </si>
  <si>
    <t>Organização do trabalho pedagógico: instrumentos de avaliação da aprendizagem e do desenvolvimento das crianças e da instituição educacional</t>
  </si>
  <si>
    <t>https://youtu.be/GW8Y629JkVQ</t>
  </si>
  <si>
    <t>https://youtu.be/PI7L0JSHfKU</t>
  </si>
  <si>
    <t>https://youtu.be/je299CED6UM</t>
  </si>
  <si>
    <t xml:space="preserve">Projeto Integrador para Licenciatura IV / Letras, Matemática e Pedagogia 2019.1 </t>
  </si>
  <si>
    <t xml:space="preserve">Quinzena 1 </t>
  </si>
  <si>
    <t>A importância das práticas pedagógicas e dos materiais didáticos</t>
  </si>
  <si>
    <t>https://youtu.be/CMG6j2aiW7A</t>
  </si>
  <si>
    <t>https://youtu.be/cHLcaiJ9Fqo</t>
  </si>
  <si>
    <t>https://youtu.be/EZKMTZTDzNk</t>
  </si>
  <si>
    <t>Educação Inclusiva: práticas pedagógicas e materiais didáticos</t>
  </si>
  <si>
    <t>https://youtu.be/paNBVR9pab8</t>
  </si>
  <si>
    <t>https://youtu.be/M1wKeR4cvF4</t>
  </si>
  <si>
    <t>https://youtu.be/IN8EQwJLUbk</t>
  </si>
  <si>
    <t>Quinzena  3</t>
  </si>
  <si>
    <t>Organização do Projeto Integrador: bibliografia, título e proposta</t>
  </si>
  <si>
    <t>https://youtu.be/LKuthwVnm_Q</t>
  </si>
  <si>
    <t>https://youtu.be/8e8iGJ_rUhY</t>
  </si>
  <si>
    <t>https://youtu.be/OfUOngevn8s</t>
  </si>
  <si>
    <t>Quinzena  4</t>
  </si>
  <si>
    <t>Produção de materiais didáticos para a educação inclusiva</t>
  </si>
  <si>
    <t>https://youtu.be/xLeYUuCmfX0</t>
  </si>
  <si>
    <t>https://youtu.be/NMsFeCmrhks</t>
  </si>
  <si>
    <t>https://youtu.be/KShOja8pFLQ</t>
  </si>
  <si>
    <t>Quinzena  5</t>
  </si>
  <si>
    <t>O projeto proposto e a inclusão: quais características privilegiar?</t>
  </si>
  <si>
    <t>https://youtu.be/iDI8nf0auTg</t>
  </si>
  <si>
    <t>https://youtu.be/_d5RYkX41PY</t>
  </si>
  <si>
    <t>https://youtu.be/t_2Oef_dXtw</t>
  </si>
  <si>
    <t>Quinzena  6</t>
  </si>
  <si>
    <t>Finalizando o projeto integrador: a proposta é inclusiva?</t>
  </si>
  <si>
    <t>https://youtu.be/dc2mSr0fXjY</t>
  </si>
  <si>
    <t>https://youtu.be/5ZitX9cUrs8</t>
  </si>
  <si>
    <t>https://youtu.be/eehJ9HLB5PM</t>
  </si>
  <si>
    <t>Quinzena  7</t>
  </si>
  <si>
    <t>Entrega do relatório final e vídeo de apresentação do PI</t>
  </si>
  <si>
    <t>https://youtu.be/jl_urtmEkoU</t>
  </si>
  <si>
    <t>https://youtu.be/f_EgpOxw4q0</t>
  </si>
  <si>
    <t>https://youtu.be/Tlg93XTmS1E</t>
  </si>
  <si>
    <t xml:space="preserve">Outros- Quinzena 1 </t>
  </si>
  <si>
    <t>Revisitando Conhecimentos - Didática para Ciências e Biologia: Introdução às estratégias (1)</t>
  </si>
  <si>
    <t>https://www.youtube.com/watch?v=YZITfH6XQTc&amp;t=2s</t>
  </si>
  <si>
    <t>Didática para Ciências e Biologia - Aula 21 - Introdução às estratégias - 1</t>
  </si>
  <si>
    <t>https://youtu.be/7XHE5PMZ3EY</t>
  </si>
  <si>
    <t>Suzana Ursi</t>
  </si>
  <si>
    <t>Material Metodológico - Visita a campo</t>
  </si>
  <si>
    <t>https://www.youtube.com/watch?v=hbwJjlsg4T0&amp;t=567s</t>
  </si>
  <si>
    <t>https://youtu.be/iXQ54fBOlPk</t>
  </si>
  <si>
    <t>Mônica Garbin</t>
  </si>
  <si>
    <t xml:space="preserve">Outros- Quinzena 2 </t>
  </si>
  <si>
    <t>Desafio - Brainstorming</t>
  </si>
  <si>
    <t>https://www.youtube.com/watch?v=8dLDnRyZyIo&amp;t=6s</t>
  </si>
  <si>
    <t>https://youtu.be/Ii222F8YKL8</t>
  </si>
  <si>
    <t>https://youtu.be/P8FtayEBWa0</t>
  </si>
  <si>
    <t>Revisitando Conhecimentos - Avaliação do Projeto Integrador</t>
  </si>
  <si>
    <t>https://www.youtube.com/watch?v=L4LmgPSnsLk&amp;t=2s</t>
  </si>
  <si>
    <t>https://youtu.be/ZXjBDtvehA4</t>
  </si>
  <si>
    <t>Material Metodológico - Delimitação do tema e desenho do problema</t>
  </si>
  <si>
    <t>https://www.youtube.com/watch?v=bLB1-aVOHA8&amp;t=2s</t>
  </si>
  <si>
    <t>https://youtu.be/f_h3Xm5lTdY</t>
  </si>
  <si>
    <t>https://youtu.be/rim98LsyTbg</t>
  </si>
  <si>
    <t>Outros- Quinzena 4</t>
  </si>
  <si>
    <t>Material Metodológico - Protótipos</t>
  </si>
  <si>
    <t>https://www.youtube.com/watch?v=2Fu5iSI8LTk&amp;t=18s</t>
  </si>
  <si>
    <t>https://youtu.be/zWb4FEoulvE</t>
  </si>
  <si>
    <t>https://youtu.be/nvXTD9JwL10</t>
  </si>
  <si>
    <t>Outros- Quinzena 5</t>
  </si>
  <si>
    <t>Revisitando Conhecimentos - Brainstorming</t>
  </si>
  <si>
    <t>https://www.youtube.com/watch?v=8dLDnRyZyIo</t>
  </si>
  <si>
    <t>Material Metodológico - Recebi o feedback e agora?</t>
  </si>
  <si>
    <t>https://www.youtube.com/watch?v=FTawmfDJ9tY&amp;t=96s</t>
  </si>
  <si>
    <t>https://youtu.be/U-f95M-JCrU</t>
  </si>
  <si>
    <t>Outros- Quinzena 6</t>
  </si>
  <si>
    <t>https://www.youtube.com/watch?v=L4LmgPSnsLk&amp;t=87s</t>
  </si>
  <si>
    <t>Material Metodológico - Produção de vídeos</t>
  </si>
  <si>
    <t>https://www.youtube.com/watch?v=1CdLhVO5haE&amp;t=5s</t>
  </si>
  <si>
    <t>https://youtu.be/e8r0QNzM4QI</t>
  </si>
  <si>
    <t>https://youtu.be/D6h_H6XWlWY</t>
  </si>
  <si>
    <t>Claudio Possani</t>
  </si>
  <si>
    <t>Outros- Quinzena 7</t>
  </si>
  <si>
    <t>Revisitando Conhecimentos - Produção de vídeos</t>
  </si>
  <si>
    <t>https://www.youtube.com/watch?v=1CdLhVO5haE&amp;t=12s</t>
  </si>
  <si>
    <t>Revisitando Conhecimentos - Instrumentos para coleta de dados</t>
  </si>
  <si>
    <t>https://www.youtube.com/watch?v=HAxmFf9wLf4&amp;t=18s</t>
  </si>
  <si>
    <t>https://youtu.be/d5PoFKNqzxg</t>
  </si>
  <si>
    <t xml:space="preserve">Taitiâny Kárita Bonzanini </t>
  </si>
  <si>
    <t>Revisitando Conhecimentos - Instrumentos para coleta de dados Parte 2</t>
  </si>
  <si>
    <t>https://www.youtube.com/watch?v=WjR9shimvz8&amp;t=146s</t>
  </si>
  <si>
    <t>Literatura: fato estético e fato histórico</t>
  </si>
  <si>
    <t>https://youtu.be/0Qe1l7npgjA</t>
  </si>
  <si>
    <t>https://youtu.be/m8a3WQLanJY</t>
  </si>
  <si>
    <t>https://youtu.be/2tPipED1oQA</t>
  </si>
  <si>
    <t>Pátria, terra ou nação? A contribuição do Romantismo</t>
  </si>
  <si>
    <t>https://youtu.be/SCt4OZceG-U</t>
  </si>
  <si>
    <t>https://youtu.be/v1fZRiZt6uY</t>
  </si>
  <si>
    <t>https://youtu.be/d3F4frlCUjM</t>
  </si>
  <si>
    <t>Notícias do Brasil: de Pero Vaz de Caminhas a Macunaíma</t>
  </si>
  <si>
    <t>https://youtu.be/DWp1DNqqSTQ</t>
  </si>
  <si>
    <t>https://youtu.be/wRSowWXTk4U</t>
  </si>
  <si>
    <t>https://youtu.be/6Jx8QEybuGU</t>
  </si>
  <si>
    <t>Cultura Brasileira: ser ou não ser antropófago</t>
  </si>
  <si>
    <t>https://youtu.be/4XYBSIZM2cs</t>
  </si>
  <si>
    <t>https://youtu.be/fVahJ9bsZd0</t>
  </si>
  <si>
    <t>https://youtu.be/k9x_m8BErqM</t>
  </si>
  <si>
    <t>https://youtu.be/unchXeSMgHc</t>
  </si>
  <si>
    <t>Um projeto modernista</t>
  </si>
  <si>
    <t>https://youtu.be/VOQCsdbg8_g</t>
  </si>
  <si>
    <t>https://youtu.be/AG1LknivqFA</t>
  </si>
  <si>
    <t>https://youtu.be/BikK3LrhjiA</t>
  </si>
  <si>
    <t>Força de trabalho e poder das letras</t>
  </si>
  <si>
    <t>https://youtu.be/aJDl_Tn_K1w</t>
  </si>
  <si>
    <t>https://youtu.be/1xHEJ2wxG-I</t>
  </si>
  <si>
    <t>https://youtu.be/xlKSl-ltzHA</t>
  </si>
  <si>
    <t>Ser vista, ver, escrever</t>
  </si>
  <si>
    <t>https://youtu.be/pRreOHVk8ng</t>
  </si>
  <si>
    <t>https://youtu.be/3tREhtDTNos</t>
  </si>
  <si>
    <t>https://youtu.be/EaJYYOvBZIM</t>
  </si>
  <si>
    <t>Literatura de autoria feminina - “Mulher é desdobrável”</t>
  </si>
  <si>
    <t>https://youtu.be/Aao_xIu7WeE</t>
  </si>
  <si>
    <t>https://youtu.be/YzlTtsTlDOM</t>
  </si>
  <si>
    <t>https://youtu.be/x7gpc-U_3F4</t>
  </si>
  <si>
    <t>Infância e subjetividade</t>
  </si>
  <si>
    <t>https://youtu.be/6mrtD-Yh0j4</t>
  </si>
  <si>
    <t>https://youtu.be/8m8J8-nBlgo</t>
  </si>
  <si>
    <t>https://youtu.be/norNg5TxogI</t>
  </si>
  <si>
    <t>Sonho e pobreza: duas perspectivas sobre infância na Literatura</t>
  </si>
  <si>
    <t>https://youtu.be/uIw5Ckltqxc</t>
  </si>
  <si>
    <t>https://youtu.be/KO-tnCQwoJ8</t>
  </si>
  <si>
    <t>https://youtu.be/LWiKjD57oh4</t>
  </si>
  <si>
    <t>Um analista da alma humana</t>
  </si>
  <si>
    <t>https://youtu.be/5knJYIeBXtY</t>
  </si>
  <si>
    <t>https://youtu.be/bXejFPaRf70</t>
  </si>
  <si>
    <t>https://youtu.be/3E_M_4JrTIQ</t>
  </si>
  <si>
    <t>Um intérprete do Brasil</t>
  </si>
  <si>
    <t>https://youtu.be/Ud5KO6ZjMcI</t>
  </si>
  <si>
    <t>https://youtu.be/yTzhHtGFuzw</t>
  </si>
  <si>
    <t>https://youtu.be/6v3G1J7N7m8</t>
  </si>
  <si>
    <t>https://youtu.be/uV7HlO5eFbE</t>
  </si>
  <si>
    <t>https://youtu.be/F9aqNsvpnwo</t>
  </si>
  <si>
    <t>https://youtu.be/ZVaPrsD4oHI</t>
  </si>
  <si>
    <t>Ter terra, ser da terra, ser a terra</t>
  </si>
  <si>
    <t>https://youtu.be/CMSDvfuuLSE</t>
  </si>
  <si>
    <t>https://youtu.be/-GLKxLfTWYE</t>
  </si>
  <si>
    <t>https://youtu.be/QNiUnMOvr4o</t>
  </si>
  <si>
    <t>Ser gente: Os sertões, Vidas secas e Torto arado</t>
  </si>
  <si>
    <t>https://youtu.be/--miCIhtTYM</t>
  </si>
  <si>
    <t>https://youtu.be/igX54iAZ-5Q</t>
  </si>
  <si>
    <t>https://youtu.be/_5usuvRrm2k</t>
  </si>
  <si>
    <t>Revisão 1 – Revisitando os temas</t>
  </si>
  <si>
    <t>https://youtu.be/UMn2gwK7CpU</t>
  </si>
  <si>
    <t>https://youtu.be/AYbf8ooQ7Vw</t>
  </si>
  <si>
    <t>https://youtu.be/_hb0DG7g5xc</t>
  </si>
  <si>
    <t>Revisão 2 – Temas que dialogam entre si; relação entre forma e conteúdo</t>
  </si>
  <si>
    <t>https://youtu.be/nk4K7ZGSz9I</t>
  </si>
  <si>
    <t>https://youtu.be/hzGNDi2C4Kg</t>
  </si>
  <si>
    <t>https://youtu.be/cMrgsOU4oL0</t>
  </si>
  <si>
    <t>Breve histórico</t>
  </si>
  <si>
    <t>https://youtu.be/39yuJ4owMJI</t>
  </si>
  <si>
    <t>https://youtu.be/-Jcu2dqOFh4</t>
  </si>
  <si>
    <t xml:space="preserve"> A formação da Psicolinguística </t>
  </si>
  <si>
    <t>https://youtu.be/BDK3a3NVpNY</t>
  </si>
  <si>
    <t>https://youtu.be/ycXFVvr1MI8</t>
  </si>
  <si>
    <t>https://youtu.be/9MJRNX45JnA</t>
  </si>
  <si>
    <t>O estado atual</t>
  </si>
  <si>
    <t>https://youtu.be/Tv9dX16uhDk</t>
  </si>
  <si>
    <t>https://youtu.be/6agxWNjg5lM</t>
  </si>
  <si>
    <t>https://youtu.be/dvLr3tXZqfw</t>
  </si>
  <si>
    <t xml:space="preserve">O Behaviorismo </t>
  </si>
  <si>
    <t>https://youtu.be/xT-CW_CkXek</t>
  </si>
  <si>
    <t>https://youtu.be/7wJaPWErNfA</t>
  </si>
  <si>
    <t>https://youtu.be/2NlCScFeNuE</t>
  </si>
  <si>
    <t xml:space="preserve"> O Inatismo </t>
  </si>
  <si>
    <t>https://youtu.be/CoFtKP_z4_s</t>
  </si>
  <si>
    <t>https://youtu.be/E3Cehv97zrE</t>
  </si>
  <si>
    <t>https://youtu.be/wSsb8lz1L7A</t>
  </si>
  <si>
    <t xml:space="preserve">O Cognitivismo </t>
  </si>
  <si>
    <t>https://youtu.be/Oe3vt4w4BuU</t>
  </si>
  <si>
    <t>https://youtu.be/d2FRbu_UnP0</t>
  </si>
  <si>
    <t>https://youtu.be/sK1zLsDcZVM</t>
  </si>
  <si>
    <t xml:space="preserve">O Interacionismo </t>
  </si>
  <si>
    <t>https://youtu.be/B0CoHxIsd58</t>
  </si>
  <si>
    <t>https://youtu.be/6PWUvrr-g4E</t>
  </si>
  <si>
    <t>https://youtu.be/B9Bith2oj34</t>
  </si>
  <si>
    <t xml:space="preserve">O Interacionismo Social </t>
  </si>
  <si>
    <t>https://youtu.be/yUIDpviE-Qo</t>
  </si>
  <si>
    <t>https://youtu.be/BmaYb6YSD9Y</t>
  </si>
  <si>
    <t>https://youtu.be/Za4zShtX9g0</t>
  </si>
  <si>
    <t xml:space="preserve">A ideia de desenvolvimento </t>
  </si>
  <si>
    <t>https://youtu.be/IdZ7gylEgec</t>
  </si>
  <si>
    <t>https://youtu.be/cNyojazCoPY</t>
  </si>
  <si>
    <t>https://youtu.be/Vv63RbOcEys</t>
  </si>
  <si>
    <t xml:space="preserve">Exemplos de análises em Aquisição da Linguagem </t>
  </si>
  <si>
    <t>https://youtu.be/iHaoJIsw60w</t>
  </si>
  <si>
    <t>https://youtu.be/_7RDYV3Z1Q0</t>
  </si>
  <si>
    <t>https://youtu.be/mfcTK6_LloQ</t>
  </si>
  <si>
    <t>A questão do período crítico</t>
  </si>
  <si>
    <t>https://youtu.be/h4Pl5-tFlc4</t>
  </si>
  <si>
    <t>https://youtu.be/5sBUx6TXDLs</t>
  </si>
  <si>
    <t>https://youtu.be/0oG5JLKSt4E</t>
  </si>
  <si>
    <t>A questão da metodologia</t>
  </si>
  <si>
    <t>https://youtu.be/gXyc-Mvdc2k</t>
  </si>
  <si>
    <t>https://youtu.be/bMgqnD0M0yE</t>
  </si>
  <si>
    <t>https://youtu.be/nEHJigkMuyU</t>
  </si>
  <si>
    <t>Exemplos de análises em Aquisição da Linguagem</t>
  </si>
  <si>
    <t>https://youtu.be/TWO8I9sIND0</t>
  </si>
  <si>
    <t>https://youtu.be/wTWUTxb3QDk</t>
  </si>
  <si>
    <t>https://youtu.be/ehx-jGi0-AU</t>
  </si>
  <si>
    <t>A proposta de Emilia Ferreiro: marcos conceituais</t>
  </si>
  <si>
    <t>https://youtu.be/t5xYuDVeLr4</t>
  </si>
  <si>
    <t>https://youtu.be/qsxIrDlMdmo</t>
  </si>
  <si>
    <t>https://youtu.be/dJIVtDe6VW0</t>
  </si>
  <si>
    <t>A representação da linguagem e o processo de alfabetização</t>
  </si>
  <si>
    <t>https://youtu.be/aU3jPoebAgk</t>
  </si>
  <si>
    <t>https://youtu.be/BfjYwASN03g</t>
  </si>
  <si>
    <t>https://youtu.be/so0dh63mM0o</t>
  </si>
  <si>
    <t xml:space="preserve">As concepções das crianças a respeito do sistema de escrita </t>
  </si>
  <si>
    <t>https://youtu.be/Si9GApckO-E</t>
  </si>
  <si>
    <t>https://youtu.be/KsQFk4ov79M</t>
  </si>
  <si>
    <t>https://youtu.be/VbF8zpcD3Vg</t>
  </si>
  <si>
    <t xml:space="preserve">Algumas definições </t>
  </si>
  <si>
    <t>https://youtu.be/UI2vbG8ASas</t>
  </si>
  <si>
    <t>https://youtu.be/zERma0VyQUs</t>
  </si>
  <si>
    <t>https://youtu.be/Xht08ZGbkko</t>
  </si>
  <si>
    <t xml:space="preserve">Um espaço teórico-metodológico para a discussão sobre a aquisição da escrita </t>
  </si>
  <si>
    <t>https://youtu.be/t4jGJDDWqxI</t>
  </si>
  <si>
    <t>https://youtu.be/8V34Kw7_qRc</t>
  </si>
  <si>
    <t>https://youtu.be/ZVsjvCdVA6g</t>
  </si>
  <si>
    <t>A tarefa alfabetizar</t>
  </si>
  <si>
    <t>https://youtu.be/GmPIPIvqLQ8</t>
  </si>
  <si>
    <t>https://youtu.be/oC8IpvJZPTk</t>
  </si>
  <si>
    <t>https://youtu.be/jzgK-dXUVnA</t>
  </si>
  <si>
    <t xml:space="preserve"> Exemplos de análise em aquisição da escrita</t>
  </si>
  <si>
    <t>https://youtu.be/HZtRad4r45s</t>
  </si>
  <si>
    <t>https://youtu.be/cikjHOY8i18</t>
  </si>
  <si>
    <t>https://youtu.be/72rMhlOpxk0</t>
  </si>
  <si>
    <t>Agora é hora de revisão!</t>
  </si>
  <si>
    <t>https://youtu.be/tjcjZ1_x8mw</t>
  </si>
  <si>
    <t>https://youtu.be/0FU41_ccnd0</t>
  </si>
  <si>
    <t>https://youtu.be/2fQX_ab8ae0</t>
  </si>
  <si>
    <t>Introdução à Engenharia de Software</t>
  </si>
  <si>
    <t>https://youtu.be/AJmCNoi9NTI</t>
  </si>
  <si>
    <t>https://youtu.be/Lk6uJ_Ixmxg</t>
  </si>
  <si>
    <t>https://youtu.be/2v_Wf9p3k2Q</t>
  </si>
  <si>
    <t>Marcelo Fantinato</t>
  </si>
  <si>
    <t>Modelos de processo de software</t>
  </si>
  <si>
    <t>https://youtu.be/TNU6IHfw9Os</t>
  </si>
  <si>
    <t>https://youtu.be/WWdaERcwq_o</t>
  </si>
  <si>
    <t>https://youtu.be/E1SAXKqWukw</t>
  </si>
  <si>
    <t>Métodos de desenvolvimento ágeis</t>
  </si>
  <si>
    <t>https://youtu.be/WuzoIGdOuE8</t>
  </si>
  <si>
    <t>https://youtu.be/PyeIPu2doQw</t>
  </si>
  <si>
    <t>https://youtu.be/GFKr1_ZhNgI</t>
  </si>
  <si>
    <t>Tipos de requisitos de software</t>
  </si>
  <si>
    <t>https://youtu.be/ptreLvwOXyw</t>
  </si>
  <si>
    <t>https://youtu.be/3e27QHwKodg</t>
  </si>
  <si>
    <t>https://youtu.be/2fehN10SvDU</t>
  </si>
  <si>
    <t>Processos de engenharia de requisitos e elicitação de requisitos</t>
  </si>
  <si>
    <t>https://youtu.be/0ab7nqiemIE</t>
  </si>
  <si>
    <t>https://youtu.be/aC33U8tcQBM</t>
  </si>
  <si>
    <t>https://youtu.be/BDf6FT3WbBg</t>
  </si>
  <si>
    <t>Especificação e validação de requisitos</t>
  </si>
  <si>
    <t>https://youtu.be/jrBzkjVaf4E</t>
  </si>
  <si>
    <t>https://youtu.be/Y3n0pSbsD-o</t>
  </si>
  <si>
    <t>https://youtu.be/1ENoU-_61DA</t>
  </si>
  <si>
    <t>Projeto de arquitetura e visões de arquitetura</t>
  </si>
  <si>
    <t>https://youtu.be/TFrVaC8JMVQ</t>
  </si>
  <si>
    <t>https://youtu.be/7HBtOmlP1LE</t>
  </si>
  <si>
    <t>https://youtu.be/mW9Zahg5Ruk</t>
  </si>
  <si>
    <t>Estilos arquiteturais</t>
  </si>
  <si>
    <t>https://youtu.be/Q8mnRv4fyOQ</t>
  </si>
  <si>
    <t>https://youtu.be/jPNFWiEqzy8</t>
  </si>
  <si>
    <t>https://youtu.be/cQH4Lnay3hQ</t>
  </si>
  <si>
    <t>Refatoração de software</t>
  </si>
  <si>
    <t>https://youtu.be/E59ePwLiXtM</t>
  </si>
  <si>
    <t>https://youtu.be/uegrb5pesFk</t>
  </si>
  <si>
    <t>https://youtu.be/b2PSuIsYmHw</t>
  </si>
  <si>
    <t>Reúso de software</t>
  </si>
  <si>
    <t>https://youtu.be/C7ey5VKOnp8</t>
  </si>
  <si>
    <t>erro de conversão para a pasta</t>
  </si>
  <si>
    <t>https://youtu.be/T8A4fRlt0ig</t>
  </si>
  <si>
    <t>Padrões de projeto</t>
  </si>
  <si>
    <t>https://youtu.be/dROV-QrLC_w</t>
  </si>
  <si>
    <t>https://youtu.be/CIZOYJoBNM8</t>
  </si>
  <si>
    <t>https://youtu.be/KJl4qrJgtoc</t>
  </si>
  <si>
    <t>Componentes de software</t>
  </si>
  <si>
    <t>https://youtu.be/Jm5gStUzqQc</t>
  </si>
  <si>
    <t>https://youtu.be/O7JAaYtkMzg</t>
  </si>
  <si>
    <t>https://youtu.be/CzWXqPh5NRQ</t>
  </si>
  <si>
    <t>Estratégias de teste de software</t>
  </si>
  <si>
    <t>https://youtu.be/MejVLhVfWr8</t>
  </si>
  <si>
    <t>https://youtu.be/HtevapOfGko</t>
  </si>
  <si>
    <t>https://youtu.be/m2JxrJfJYig</t>
  </si>
  <si>
    <t>Teste funcional</t>
  </si>
  <si>
    <t>https://youtu.be/3arc_V7osNo</t>
  </si>
  <si>
    <t>https://youtu.be/iwJWQMGhrK0</t>
  </si>
  <si>
    <t>https://youtu.be/VCLKJSlyXP4</t>
  </si>
  <si>
    <t>Teste estrutural</t>
  </si>
  <si>
    <t>https://youtu.be/y_ccxqpTc3w</t>
  </si>
  <si>
    <t>https://youtu.be/taOz-jBEL0c</t>
  </si>
  <si>
    <t>https://youtu.be/-ndRL_4bnAs</t>
  </si>
  <si>
    <t>Teste de desempenho</t>
  </si>
  <si>
    <t>https://youtu.be/Va3pPvY7I9I</t>
  </si>
  <si>
    <t>https://youtu.be/JhqagvwgHy0</t>
  </si>
  <si>
    <t>https://youtu.be/lRWC18xvF8E</t>
  </si>
  <si>
    <t>Teste de segurança</t>
  </si>
  <si>
    <t>https://youtu.be/-HBYN1kebR0</t>
  </si>
  <si>
    <t>https://youtu.be/QzXHzAP2gDc</t>
  </si>
  <si>
    <t>https://youtu.be/IF110FL0QUQ</t>
  </si>
  <si>
    <t>Desenvolvimento dirigido por testes</t>
  </si>
  <si>
    <t>https://youtu.be/VMCuzn-fHKo</t>
  </si>
  <si>
    <t>https://youtu.be/V5UKizsGCa0</t>
  </si>
  <si>
    <t>https://youtu.be/P1aloVquJgs</t>
  </si>
  <si>
    <t>Testes automatizados</t>
  </si>
  <si>
    <t>https://youtu.be/DRwNbdorMJI</t>
  </si>
  <si>
    <t>https://youtu.be/2NqtdymZB7o</t>
  </si>
  <si>
    <t>https://youtu.be/kTsL_Lp-T0U</t>
  </si>
  <si>
    <t>Integração contínua</t>
  </si>
  <si>
    <t>https://youtu.be/d_-GPwL7Ckw</t>
  </si>
  <si>
    <t>https://youtu.be/aBkUv5kgfu0</t>
  </si>
  <si>
    <t>https://youtu.be/8fh0TUnu2pc</t>
  </si>
  <si>
    <t>Gestão de configuração de software</t>
  </si>
  <si>
    <t>https://youtu.be/w3dX97i4v2c</t>
  </si>
  <si>
    <t>https://youtu.be/Qke_yc9rbxg</t>
  </si>
  <si>
    <t>https://youtu.be/DTshocLcG8Y</t>
  </si>
  <si>
    <t>Projeto Integrador em Computação II (Prof.Marcelo Garcia Manzato)</t>
  </si>
  <si>
    <t>https://youtu.be/LRm8TS77TxE</t>
  </si>
  <si>
    <t>https://youtu.be/OgT97HTy0DA</t>
  </si>
  <si>
    <t>https://youtu.be/mDfcXjAC0u8</t>
  </si>
  <si>
    <t>Marcelo Manzato</t>
  </si>
  <si>
    <t>Desenvolvimento Web</t>
  </si>
  <si>
    <t>https://youtu.be/rffV9kvxjh8</t>
  </si>
  <si>
    <t>https://youtu.be/6PXeTCGL71s</t>
  </si>
  <si>
    <t>https://youtu.be/qnCGVnsGGQ0</t>
  </si>
  <si>
    <t>JavaScript</t>
  </si>
  <si>
    <t>https://youtu.be/NsJoT4iwYSY</t>
  </si>
  <si>
    <t>https://youtu.be/kiea37Eu8sI</t>
  </si>
  <si>
    <t>https://youtu.be/w-5cNdomsKs</t>
  </si>
  <si>
    <t>Computação em nuvem</t>
  </si>
  <si>
    <t>https://youtu.be/UWgqax1F9N8</t>
  </si>
  <si>
    <t>https://youtu.be/2OlySHesaw0</t>
  </si>
  <si>
    <t>https://youtu.be/KkSg8InUDsU</t>
  </si>
  <si>
    <t>Acessibilidade na Web</t>
  </si>
  <si>
    <t>https://youtu.be/vlXSolP6MDk</t>
  </si>
  <si>
    <t>https://youtu.be/4lYbkCYeVHg</t>
  </si>
  <si>
    <t>https://youtu.be/gKOZPiR4H2s</t>
  </si>
  <si>
    <t>Teste de aplicações Web</t>
  </si>
  <si>
    <t>https://youtu.be/vO8NDVV7BaY</t>
  </si>
  <si>
    <t>https://youtu.be/ViSQ6h3p_C0</t>
  </si>
  <si>
    <t>https://youtu.be/9c0-hUXToyg</t>
  </si>
  <si>
    <t>Análise de dados</t>
  </si>
  <si>
    <t>https://youtu.be/vl6DaJkJaGs</t>
  </si>
  <si>
    <t>https://youtu.be/g4A_Gixycb0</t>
  </si>
  <si>
    <t>A evolução histórica e perspectivas</t>
  </si>
  <si>
    <t>https://youtu.be/BJTjX1C6yfU</t>
  </si>
  <si>
    <t>https://youtu.be/6QdqsKPLEA4</t>
  </si>
  <si>
    <t>https://youtu.be/XqWMdrw_7qk</t>
  </si>
  <si>
    <t>Abordagens metodológicas de uso de tecnologias</t>
  </si>
  <si>
    <t>https://youtu.be/MjfxTov4uNQ</t>
  </si>
  <si>
    <t>https://youtu.be/MY5_S3EaYcY</t>
  </si>
  <si>
    <t>https://youtu.be/fmO6rEPf7Q4</t>
  </si>
  <si>
    <t>Conhecimento tecnológico pedagógico do conteúdo</t>
  </si>
  <si>
    <t>https://youtu.be/3YE_ieq-hxI</t>
  </si>
  <si>
    <t>https://youtu.be/nKhU3ajFzQc</t>
  </si>
  <si>
    <t>https://youtu.be/V2gimdQP0Dk</t>
  </si>
  <si>
    <t>Licenças de uso de materiais pedagógicos</t>
  </si>
  <si>
    <t>https://youtu.be/UUhycAwn9BM</t>
  </si>
  <si>
    <t>https://youtu.be/27CpJDUOnZs</t>
  </si>
  <si>
    <t>https://youtu.be/PsZKwEpnRng</t>
  </si>
  <si>
    <t>Uso de tecnologias móveis no processo educativo</t>
  </si>
  <si>
    <t>https://youtu.be/MIuAXjHIEQs</t>
  </si>
  <si>
    <t>https://youtu.be/4LXnE2LpwDk</t>
  </si>
  <si>
    <t>https://youtu.be/LsZjBxpfo0U</t>
  </si>
  <si>
    <t>Aplicativos e o processo educativo</t>
  </si>
  <si>
    <t>https://youtu.be/c1CCV1EYOX8</t>
  </si>
  <si>
    <t>https://youtu.be/VDAyA1nfWtM</t>
  </si>
  <si>
    <t>https://youtu.be/6uYUiLXyA6o</t>
  </si>
  <si>
    <t>As redes sociais como ambiente virtual de aprendizagem</t>
  </si>
  <si>
    <t>https://youtu.be/pngrmSs6dAc</t>
  </si>
  <si>
    <t>https://youtu.be/u8INTWO28qs</t>
  </si>
  <si>
    <t>https://youtu.be/mEnOrGjlmDs</t>
  </si>
  <si>
    <t>Relato de experiência: o uso de rede social no ensino de Libras</t>
  </si>
  <si>
    <t>https://youtu.be/LtfP7y48Zzc</t>
  </si>
  <si>
    <t>https://youtu.be/5LxQAymnfro</t>
  </si>
  <si>
    <t>https://youtu.be/SpSQxZdL904</t>
  </si>
  <si>
    <t>O socrative e a metodologia da aprendizagem por pares</t>
  </si>
  <si>
    <t>https://youtu.be/J3cKYpM1Bi0</t>
  </si>
  <si>
    <t>https://youtu.be/1MCjwmmXH7w</t>
  </si>
  <si>
    <t>https://youtu.be/JcCTIu4To24</t>
  </si>
  <si>
    <t>O TBL active e a metodologia de aprendizagem baseada em equipes</t>
  </si>
  <si>
    <t>https://youtu.be/A2IT_TK6Erw</t>
  </si>
  <si>
    <t>https://youtu.be/9Z6PQwEzvY8</t>
  </si>
  <si>
    <t>https://youtu.be/_WNwWlDxhh8</t>
  </si>
  <si>
    <t>O TBL active: da criação aos frutos</t>
  </si>
  <si>
    <t>https://youtu.be/9pCqsvyxtLU</t>
  </si>
  <si>
    <t>https://youtu.be/NwYkLBwE0ow</t>
  </si>
  <si>
    <t>https://youtu.be/-LH0aPvnnGg</t>
  </si>
  <si>
    <t>O trello e a aprendizagem baseada em projetos</t>
  </si>
  <si>
    <t>https://youtu.be/fHy94EVtv98</t>
  </si>
  <si>
    <t>https://youtu.be/4hbTgWDM1ms</t>
  </si>
  <si>
    <t>https://youtu.be/rcIBfpBLRz4</t>
  </si>
  <si>
    <t>O Kahoot e a estratégia de gamificação</t>
  </si>
  <si>
    <t>https://youtu.be/QOQtl8slDBU</t>
  </si>
  <si>
    <t>https://youtu.be/TEV4FSWlzUE</t>
  </si>
  <si>
    <t>https://youtu.be/oiDsEvaxr9s</t>
  </si>
  <si>
    <t>Educação por competências no ensino básico - Nilson Machado</t>
  </si>
  <si>
    <t>https://www.youtube.com/watch?v=GNh2goLlRcg</t>
  </si>
  <si>
    <t>https://youtu.be/IoLw_XP7aow</t>
  </si>
  <si>
    <t>https://youtu.be/3o1bsl_0M0k</t>
  </si>
  <si>
    <t>EVS - Interdisciplinaridade e Transversalidade</t>
  </si>
  <si>
    <t>https://www.youtube.com/watch?v=cNpTwye78Vk</t>
  </si>
  <si>
    <t>https://youtu.be/emBLm1HPM6s</t>
  </si>
  <si>
    <t>https://youtu.be/uP0i7W2aAUk</t>
  </si>
  <si>
    <t>D-23 - Ensino de Ciências: métodos e técnicas</t>
  </si>
  <si>
    <t>https://www.youtube.com/watch?v=qynHlQkj93Y</t>
  </si>
  <si>
    <t>https://youtu.be/Qq1mkgRlRBc</t>
  </si>
  <si>
    <t>https://youtu.be/2Hly7uH33ws</t>
  </si>
  <si>
    <t>Processos de Avaliação - Aula 06 - Práticas de avaliação: instrumentos</t>
  </si>
  <si>
    <t>https://www.youtube.com/watch?v=kKK9rYZVXCk</t>
  </si>
  <si>
    <t>https://youtu.be/CY5QsVtjgzY</t>
  </si>
  <si>
    <t>https://youtu.be/src_NaNoYkg</t>
  </si>
  <si>
    <t>Processos de Avaliação - Aula 07 - Práticas de avaliação: critérios</t>
  </si>
  <si>
    <t>https://www.youtube.com/watch?v=yGIK3KEzscI</t>
  </si>
  <si>
    <t>https://youtu.be/kM_yZ9AZv0I</t>
  </si>
  <si>
    <t>https://youtu.be/ZNxqW2TnOUI</t>
  </si>
  <si>
    <t xml:space="preserve">Gramáticas(s): um pouco de história </t>
  </si>
  <si>
    <t>https://youtu.be/m65I8Ces7BQ</t>
  </si>
  <si>
    <t>https://youtu.be/Vn7o7SqSYFc</t>
  </si>
  <si>
    <t>https://youtu.be/SAnr7Sgeg2g</t>
  </si>
  <si>
    <t>Fixando a norma padrão</t>
  </si>
  <si>
    <t>https://youtu.be/KCQ55v14GHw</t>
  </si>
  <si>
    <t>https://youtu.be/naaZMnNjtBw</t>
  </si>
  <si>
    <t>https://youtu.be/FRs_1qbB77Y</t>
  </si>
  <si>
    <t>A norma brasileira real</t>
  </si>
  <si>
    <t>https://youtu.be/hGYs6TXqlEM</t>
  </si>
  <si>
    <t>https://youtu.be/uXChDOuJo1c</t>
  </si>
  <si>
    <t>https://youtu.be/VjKztbSpD7s</t>
  </si>
  <si>
    <t>A organização da oração e o significado</t>
  </si>
  <si>
    <t>https://youtu.be/7SbMmZEZ728</t>
  </si>
  <si>
    <t>https://youtu.be/WK5J_NDftrk</t>
  </si>
  <si>
    <t>https://youtu.be/B4jdsLPljbg</t>
  </si>
  <si>
    <t>O plano sintático e o plano semântico</t>
  </si>
  <si>
    <t>https://youtu.be/kERxo00O2G8</t>
  </si>
  <si>
    <t>https://youtu.be/7MTR1GmxCsY</t>
  </si>
  <si>
    <t>https://youtu.be/ZYCFXaWHX-E</t>
  </si>
  <si>
    <t>O significado entre orações</t>
  </si>
  <si>
    <t>https://youtu.be/FW7Anc8ui_w</t>
  </si>
  <si>
    <t>https://youtu.be/utiiSOTI-FY</t>
  </si>
  <si>
    <t>https://youtu.be/XIme7MFtbT8</t>
  </si>
  <si>
    <t>Consideração sobre a noção de texto</t>
  </si>
  <si>
    <t>https://youtu.be/GzocjO4XK34</t>
  </si>
  <si>
    <t>https://youtu.be/Ylpe4UEniZU</t>
  </si>
  <si>
    <t>https://youtu.be/AA8mxDf0kIM</t>
  </si>
  <si>
    <t>Texto e contexto</t>
  </si>
  <si>
    <t>https://youtu.be/WdKNgi1pkaQ</t>
  </si>
  <si>
    <t>https://youtu.be/csY3Hk9X4Qc</t>
  </si>
  <si>
    <t>https://youtu.be/zEMrZm_ngJc</t>
  </si>
  <si>
    <t>O uso da língua: funções do contexto</t>
  </si>
  <si>
    <t>https://youtu.be/lLofV6ZAWMM</t>
  </si>
  <si>
    <t>https://youtu.be/rkB6pA_xPRw</t>
  </si>
  <si>
    <t>https://youtu.be/J49SVI6kCjA</t>
  </si>
  <si>
    <t xml:space="preserve">O estudo dos gêneros e funcionamentos da sociedade </t>
  </si>
  <si>
    <t>https://youtu.be/KMlBSNJ6UiA</t>
  </si>
  <si>
    <t>https://youtu.be/OvK6xeklkVo</t>
  </si>
  <si>
    <t>https://youtu.be/kgXise5Nx6Y</t>
  </si>
  <si>
    <t xml:space="preserve">Conceitos importantes: gênero, tipos textuais e domínios discursivos </t>
  </si>
  <si>
    <t>https://youtu.be/rG2-lz5ztbg</t>
  </si>
  <si>
    <t>https://youtu.be/3mlrhhvTbw8</t>
  </si>
  <si>
    <t>https://youtu.be/s6mVML0Ww0Y</t>
  </si>
  <si>
    <t xml:space="preserve">A questão da intergenericidade </t>
  </si>
  <si>
    <t>https://youtu.be/U78PlXk1Sqg</t>
  </si>
  <si>
    <t>https://youtu.be/_D_pqlkLoC4</t>
  </si>
  <si>
    <t>https://youtu.be/4YFyhw8kDk0</t>
  </si>
  <si>
    <t xml:space="preserve">Uma abordagem do texto argumentativo </t>
  </si>
  <si>
    <t>https://youtu.be/yX8pU6-hMzE</t>
  </si>
  <si>
    <t>https://youtu.be/u_uTvxgH4yw</t>
  </si>
  <si>
    <t>https://youtu.be/G0-mQkQh8yE</t>
  </si>
  <si>
    <t>Problemas de argumentação: uma abordagem</t>
  </si>
  <si>
    <t>https://youtu.be/GFWAyoDwDt8</t>
  </si>
  <si>
    <t>https://youtu.be/-sO2dYxh0EU</t>
  </si>
  <si>
    <t>https://youtu.be/o5OwVq5n4ps</t>
  </si>
  <si>
    <t xml:space="preserve">Operadores argumentativos </t>
  </si>
  <si>
    <t>https://youtu.be/c7SmSeYGHiQ</t>
  </si>
  <si>
    <t>https://youtu.be/KfOFeHwJEAU</t>
  </si>
  <si>
    <t>https://youtu.be/wr6Eevgs0-A</t>
  </si>
  <si>
    <t xml:space="preserve">Os modalizadores </t>
  </si>
  <si>
    <t>https://youtu.be/aNsMexhCOos</t>
  </si>
  <si>
    <t>https://youtu.be/48JGnEIocCc</t>
  </si>
  <si>
    <t>https://youtu.be/0pClXaUkoJc</t>
  </si>
  <si>
    <t xml:space="preserve">Outras marcas linguísticas da argumentação </t>
  </si>
  <si>
    <t>https://youtu.be/3PyH050XiSo</t>
  </si>
  <si>
    <t>https://youtu.be/CCslwu5BVik</t>
  </si>
  <si>
    <t>https://youtu.be/X79KBN3PDx0</t>
  </si>
  <si>
    <t>A prática de (re)escrita</t>
  </si>
  <si>
    <t>https://youtu.be/mJSH2cAV4RI</t>
  </si>
  <si>
    <t>https://youtu.be/LFfaJW1mYSs</t>
  </si>
  <si>
    <t>https://youtu.be/FDg7ZoLau8k</t>
  </si>
  <si>
    <t>A (re)escrita: o que pensam os alunos?</t>
  </si>
  <si>
    <t>https://youtu.be/SDs8314e1sM</t>
  </si>
  <si>
    <t>https://youtu.be/J3XTB9LRX4U</t>
  </si>
  <si>
    <t>https://youtu.be/l4uk8IHi-bs</t>
  </si>
  <si>
    <t>A (re)escrita: interação professor/aluno</t>
  </si>
  <si>
    <t>https://youtu.be/w56j-u3PBBI</t>
  </si>
  <si>
    <t>https://youtu.be/-eNh7LBkIPg</t>
  </si>
  <si>
    <t>https://youtu.be/gOw_iAMYfM0</t>
  </si>
  <si>
    <t>É hora de sistematizar para revisar</t>
  </si>
  <si>
    <t>https://youtu.be/pWn1mJPojLY</t>
  </si>
  <si>
    <t>https://youtu.be/BQLDcyOw7Do</t>
  </si>
  <si>
    <t>https://youtu.be/Ks3lCaih3h8</t>
  </si>
  <si>
    <t>Leitura e Produção de textos (Prof.Vanessa Martins do Monte)</t>
  </si>
  <si>
    <t>https://youtu.be/fuBOPZNABwg</t>
  </si>
  <si>
    <t>https://youtu.be/7ST7XoWO69I</t>
  </si>
  <si>
    <t>https://youtu.be/ODm3K45FPsU</t>
  </si>
  <si>
    <t>As Funções Sociais da Escrita</t>
  </si>
  <si>
    <t>https://youtu.be/gMni5g5T0f0</t>
  </si>
  <si>
    <t>https://youtu.be/6zgp3wPvopM</t>
  </si>
  <si>
    <t>https://youtu.be/8jz97xi3o-c</t>
  </si>
  <si>
    <t>As Funções Sociais da Leitura</t>
  </si>
  <si>
    <t>https://youtu.be/gtM9vKYjIps</t>
  </si>
  <si>
    <t>https://youtu.be/ARuFzwjIx-k</t>
  </si>
  <si>
    <t>https://youtu.be/D_JD8mSdazs</t>
  </si>
  <si>
    <t>https://youtu.be/VR9SFhBPjZQ</t>
  </si>
  <si>
    <t>https://youtu.be/cMKzujr8ahY</t>
  </si>
  <si>
    <t>https://youtu.be/zDPzsxcSOK8</t>
  </si>
  <si>
    <t>Linguagem verbal e Linguagem não-verbal: categorias válidas?</t>
  </si>
  <si>
    <t>https://youtu.be/fjrCyzpN0uI</t>
  </si>
  <si>
    <t>https://youtu.be/odznZuIMh2I</t>
  </si>
  <si>
    <t>https://youtu.be/wFtXBEPLc_g</t>
  </si>
  <si>
    <t>Algumas concepções de linguagem</t>
  </si>
  <si>
    <t>https://youtu.be/5zClWuY2gv4</t>
  </si>
  <si>
    <t>https://youtu.be/rT6R3mefK-o</t>
  </si>
  <si>
    <t>https://youtu.be/U3O2sOYnxzY</t>
  </si>
  <si>
    <t>A leitura e a escrita como ferramentas de formação cidadã</t>
  </si>
  <si>
    <t>https://youtu.be/WGcpAHhIZro</t>
  </si>
  <si>
    <t>https://youtu.be/Txi5-8bX--k</t>
  </si>
  <si>
    <t>https://youtu.be/nvbSPXsmyfI</t>
  </si>
  <si>
    <t>As estratégias leitoras</t>
  </si>
  <si>
    <t>https://youtu.be/X_RMPEK96mY</t>
  </si>
  <si>
    <t>https://youtu.be/IEw-qDre__U</t>
  </si>
  <si>
    <t>https://youtu.be/zF0lGFDfBpc</t>
  </si>
  <si>
    <t>A coesão textual</t>
  </si>
  <si>
    <t>https://youtu.be/N1F6Q-eSAUg</t>
  </si>
  <si>
    <t>https://youtu.be/BTP-zKMJNe4</t>
  </si>
  <si>
    <t>https://youtu.be/K-WysDxarS0</t>
  </si>
  <si>
    <t>A coerência textual</t>
  </si>
  <si>
    <t>https://youtu.be/MDLOVDl3ElQ</t>
  </si>
  <si>
    <t>https://youtu.be/C49wMfj6KP0</t>
  </si>
  <si>
    <t>https://youtu.be/4fE9U3-lcJ4</t>
  </si>
  <si>
    <t>A noção de informatividade</t>
  </si>
  <si>
    <t>https://youtu.be/JmNCy7uQ-CA</t>
  </si>
  <si>
    <t>https://youtu.be/19Gl-NkKwdg</t>
  </si>
  <si>
    <t>https://youtu.be/RoHJL9FrTsg</t>
  </si>
  <si>
    <t>A clareza na comunicação</t>
  </si>
  <si>
    <t>https://youtu.be/VGy8zU90oC8</t>
  </si>
  <si>
    <t>https://youtu.be/9AAjsVuXwiI</t>
  </si>
  <si>
    <t>https://youtu.be/xNm4-74I7rQ</t>
  </si>
  <si>
    <t>Os efeitos de sentido</t>
  </si>
  <si>
    <t>https://youtu.be/1S0e1fM8-VA</t>
  </si>
  <si>
    <t>https://youtu.be/Q2meFBbszgg</t>
  </si>
  <si>
    <t>https://youtu.be/oLP4ODeDQfQ</t>
  </si>
  <si>
    <t>A adequação linguística</t>
  </si>
  <si>
    <t>https://youtu.be/KNqwQKCbhjk</t>
  </si>
  <si>
    <t>https://youtu.be/_MmyDB0bwsI</t>
  </si>
  <si>
    <t>https://youtu.be/D3RWXbSw-d0</t>
  </si>
  <si>
    <t>Táticas de Revisão</t>
  </si>
  <si>
    <t>https://youtu.be/P-2V87gaZow</t>
  </si>
  <si>
    <t>https://youtu.be/rVLNdmUlfH0</t>
  </si>
  <si>
    <t>https://youtu.be/VfbUjsn8DlI</t>
  </si>
  <si>
    <t>Um texto se escreve reescrevendo</t>
  </si>
  <si>
    <t>https://youtu.be/OqRvOHHBLs8</t>
  </si>
  <si>
    <t>https://youtu.be/Fqt-upBZUFo</t>
  </si>
  <si>
    <t>O que significa ensinar a ler e a escrever?</t>
  </si>
  <si>
    <t>https://youtu.be/0E3qENEHT3A</t>
  </si>
  <si>
    <t>https://youtu.be/CJj0A_hlyRY</t>
  </si>
  <si>
    <t>https://youtu.be/xFtSuUb3SxE</t>
  </si>
  <si>
    <t>Ética, cidadania e Sociedade (Prof.Eli Vagner Francisco Rodrigues)</t>
  </si>
  <si>
    <t>Introdução à ética: Conceitos fundamentais</t>
  </si>
  <si>
    <t>https://youtu.be/6tu8ERj7g-Y</t>
  </si>
  <si>
    <t>https://youtu.be/XMtZJ1lBUFw</t>
  </si>
  <si>
    <t>https://youtu.be/6cqXj56RT60</t>
  </si>
  <si>
    <t>Racionalidade e liberdade</t>
  </si>
  <si>
    <t>https://youtu.be/zExhdFHldNY</t>
  </si>
  <si>
    <t>https://youtu.be/QVtWygaj_LA</t>
  </si>
  <si>
    <t>https://youtu.be/RL6NH7v1Q4o</t>
  </si>
  <si>
    <t>Ética e moral</t>
  </si>
  <si>
    <t>https://youtu.be/dn0JImC9e_g</t>
  </si>
  <si>
    <t>https://youtu.be/Pl8cTtAjvnc</t>
  </si>
  <si>
    <t>https://youtu.be/td7Tjrx1Tb4</t>
  </si>
  <si>
    <t>Multiculturalismo e relativismo</t>
  </si>
  <si>
    <t>https://youtu.be/KEWIozUNOlI</t>
  </si>
  <si>
    <t>https://youtu.be/ggxkofCD9LY</t>
  </si>
  <si>
    <t>https://youtu.be/zv5wKfS7FYM</t>
  </si>
  <si>
    <t>Cidadania</t>
  </si>
  <si>
    <t>https://youtu.be/mAV5WjcFjX0</t>
  </si>
  <si>
    <t>https://youtu.be/drgIK0luJCo</t>
  </si>
  <si>
    <t>https://youtu.be/jSWerULTKh0</t>
  </si>
  <si>
    <t>Esclarecimento</t>
  </si>
  <si>
    <t>https://youtu.be/rhRGqzjDkms</t>
  </si>
  <si>
    <t>https://youtu.be/3F5785oU4YA</t>
  </si>
  <si>
    <t>https://youtu.be/vKPKYbVAb7o</t>
  </si>
  <si>
    <t>Direitos do cidadão</t>
  </si>
  <si>
    <t>https://youtu.be/SEKIIAaoobg</t>
  </si>
  <si>
    <t>https://youtu.be/2BrItqzGUMQ</t>
  </si>
  <si>
    <t>https://youtu.be/e3CcelhQyxA</t>
  </si>
  <si>
    <t>Ética e direitos humanos</t>
  </si>
  <si>
    <t>https://youtu.be/vdhnCBe5djQ</t>
  </si>
  <si>
    <t>https://youtu.be/Leqf_a5S2Js</t>
  </si>
  <si>
    <t>https://youtu.be/5v66KyZ4Zbg</t>
  </si>
  <si>
    <t>Ética profissional</t>
  </si>
  <si>
    <t>https://youtu.be/L4boqXeykhI</t>
  </si>
  <si>
    <t>https://youtu.be/VusblGM--nE</t>
  </si>
  <si>
    <t>https://youtu.be/3mFYtBS6-9o</t>
  </si>
  <si>
    <t>Ética e mundo do trabalho</t>
  </si>
  <si>
    <t>https://youtu.be/lIzsuUA2LJY</t>
  </si>
  <si>
    <t>https://youtu.be/ewJyX6P2kaA</t>
  </si>
  <si>
    <t>https://youtu.be/MQp1PyQS3FQ</t>
  </si>
  <si>
    <t>Diversidade, inclusão e relações étnico-raciais</t>
  </si>
  <si>
    <t>https://youtu.be/aXBLvoikpc4</t>
  </si>
  <si>
    <t>https://youtu.be/tUY4QsuSxzs</t>
  </si>
  <si>
    <t>https://youtu.be/WZyG716ASnk</t>
  </si>
  <si>
    <t>Pessoa humana e dignidade</t>
  </si>
  <si>
    <t>https://youtu.be/eEnIuI5ZtbA</t>
  </si>
  <si>
    <t>https://youtu.be/r1dyTj7xe_g</t>
  </si>
  <si>
    <t>https://youtu.be/SNEo2-m_d74</t>
  </si>
  <si>
    <t>Educação e sustentabilidade</t>
  </si>
  <si>
    <t>https://youtu.be/h3DFle6I8IU</t>
  </si>
  <si>
    <t>https://youtu.be/opUF3DG6TQ8</t>
  </si>
  <si>
    <t>https://youtu.be/-Gy8ozNIh2o</t>
  </si>
  <si>
    <t>Ética acadêmica</t>
  </si>
  <si>
    <t>https://youtu.be/KRxyU42_uKQ</t>
  </si>
  <si>
    <t>https://youtu.be/ilpdWtPPjek</t>
  </si>
  <si>
    <t>https://youtu.be/yGr1x2hkRNM</t>
  </si>
  <si>
    <t>Inglês (Prof.Cristina Mayer Acunzo)</t>
  </si>
  <si>
    <t>https://youtu.be/ok5PaRPltcM</t>
  </si>
  <si>
    <t>https://youtu.be/mDnjeOijhQo</t>
  </si>
  <si>
    <t>https://youtu.be/C1iHiewEZQA</t>
  </si>
  <si>
    <t>Inglês sem mistério - Resources for dealing with English (Parte 1)</t>
  </si>
  <si>
    <t>https://youtu.be/GPGKhgTmu_o</t>
  </si>
  <si>
    <t>https://youtu.be/mMP_H6poDbo</t>
  </si>
  <si>
    <t>https://youtu.be/5n9mCVGeYeE</t>
  </si>
  <si>
    <t>Inglês sem mistério - Resources for dealing with English (Parte 2)</t>
  </si>
  <si>
    <t>https://youtu.be/4jHlBGkxvv8</t>
  </si>
  <si>
    <t>https://youtu.be/HyJxj4LWg4Y</t>
  </si>
  <si>
    <t>https://youtu.be/ZQaS5KjxSLQ</t>
  </si>
  <si>
    <t>Inglês sem mistério - Resources for dealing with English (Parte 3)</t>
  </si>
  <si>
    <t>https://youtu.be/mJsKcjdoIqo</t>
  </si>
  <si>
    <t>https://youtu.be/k7xE_juGr3I</t>
  </si>
  <si>
    <t>https://youtu.be/ouZamTwq_C8</t>
  </si>
  <si>
    <t>Learning to read: Estratégias para Leitura de Textos em Inglês (Parte 1)</t>
  </si>
  <si>
    <t>https://youtu.be/-dwoqBp1W1c</t>
  </si>
  <si>
    <t>https://youtu.be/xYkR9pBCoGo</t>
  </si>
  <si>
    <t>https://youtu.be/OWqlER5Nx4E</t>
  </si>
  <si>
    <t>Learning to read: Estratégias para Leitura de Textos em Inglês (Parte 2)</t>
  </si>
  <si>
    <t>https://youtu.be/YmfkAtR4opw</t>
  </si>
  <si>
    <t>https://youtu.be/UywERm_R8A0</t>
  </si>
  <si>
    <t>https://youtu.be/uqX5pSf41wU</t>
  </si>
  <si>
    <t>Learning to read: Estratégias para Leitura de Textos em Inglês (Parte 3)</t>
  </si>
  <si>
    <t>https://youtu.be/-IbRgj-CnIk</t>
  </si>
  <si>
    <t>https://youtu.be/4iFrny7xRCg</t>
  </si>
  <si>
    <t>https://youtu.be/xvFxnWZMu3w</t>
  </si>
  <si>
    <t>English around the world: o uso da língua em interações e comunicações interculturais (Parte 1)</t>
  </si>
  <si>
    <t>https://youtu.be/fHrLpPsO-Fk</t>
  </si>
  <si>
    <t>https://youtu.be/z3MPfdkX6F0</t>
  </si>
  <si>
    <t>https://youtu.be/7Lyo-DrA_4E</t>
  </si>
  <si>
    <t>English around the world: o uso da língua em interações e comunicações interculturais (Parte 2)</t>
  </si>
  <si>
    <t>https://youtu.be/ZEqOJej6w9w</t>
  </si>
  <si>
    <t>https://youtu.be/oM6kbFnOchg</t>
  </si>
  <si>
    <t>https://youtu.be/QFSzlJHWvPo</t>
  </si>
  <si>
    <t>Learning to listen and speak: estratégias para desenvolver habilidades auditiva e de fala</t>
  </si>
  <si>
    <t>https://youtu.be/ONMztFZKyUQ</t>
  </si>
  <si>
    <t>https://youtu.be/RAGtFeiu5AA</t>
  </si>
  <si>
    <t>https://youtu.be/N2bfqi4Onys</t>
  </si>
  <si>
    <t>Talking about the past</t>
  </si>
  <si>
    <t>https://youtu.be/nNmG3YSqqEI</t>
  </si>
  <si>
    <t>https://youtu.be/1lzD8IcpvzY</t>
  </si>
  <si>
    <t>https://youtu.be/rOdphGGDbgI</t>
  </si>
  <si>
    <t>An international conference: interação, socialização e networking</t>
  </si>
  <si>
    <t>https://youtu.be/E6MP5uXiaEI</t>
  </si>
  <si>
    <t>https://youtu.bemopnpdwH4RA</t>
  </si>
  <si>
    <t>https://youtu.be/EfTlGdRLirQ</t>
  </si>
  <si>
    <t>Working at a conference</t>
  </si>
  <si>
    <t>https://youtu.be/9TJU3U700zM</t>
  </si>
  <si>
    <t>https://youtu.be/PY_NK650QoI</t>
  </si>
  <si>
    <t>https://youtu.be/Evh1fxjI02o</t>
  </si>
  <si>
    <t>Talking about the future</t>
  </si>
  <si>
    <t>https://youtu.be/nm4l124dQi0</t>
  </si>
  <si>
    <t>https://youtu.be/sWzeV2GEsIg</t>
  </si>
  <si>
    <t>https://youtu.be/t4jMJ_Ga-3U</t>
  </si>
  <si>
    <t>Learning to write</t>
  </si>
  <si>
    <t>https://youtu.be/KObxyRmpckM</t>
  </si>
  <si>
    <t>https://youtu.be/vE-9SGQ0haA</t>
  </si>
  <si>
    <t>https://youtu.be/z8NE1NJzYWU</t>
  </si>
  <si>
    <t>What have you done</t>
  </si>
  <si>
    <t>https://youtu.be/qC741rq4xyY</t>
  </si>
  <si>
    <t>https://youtu.be/5aB7X3YysAg</t>
  </si>
  <si>
    <t>https://youtu.be/Z0lJflPh43w</t>
  </si>
  <si>
    <t>Let's review!</t>
  </si>
  <si>
    <t>https://youtu.be/ef8g9Y1SJVU</t>
  </si>
  <si>
    <t>https://youtu.be/y51uoDjlUUk</t>
  </si>
  <si>
    <t>https://youtu.be/EYApFdRZznA</t>
  </si>
  <si>
    <t>Let's review! (Parte 2)</t>
  </si>
  <si>
    <t>https://youtu.be/azOf1XhJOQU</t>
  </si>
  <si>
    <t>https://youtu.be/ZhwZWmysQbk</t>
  </si>
  <si>
    <t>https://youtu.be/DL5iSh5JI6I</t>
  </si>
  <si>
    <t>Projetos e Métodos para a Produção do Conhecimento (Prof.Darlene Ferreira)</t>
  </si>
  <si>
    <t>https://youtu.be/DOITQ9x-G2Y</t>
  </si>
  <si>
    <t>https://youtu.be/4zsz0uz0u78</t>
  </si>
  <si>
    <t>https://youtu.be/Apoe8XVbJUw</t>
  </si>
  <si>
    <t>Senso comum e ciência</t>
  </si>
  <si>
    <t>https://youtu.be/3ozoRkbqG-w</t>
  </si>
  <si>
    <t>https://youtu.be/n8S-Yja9wWo</t>
  </si>
  <si>
    <t>https://youtu.be/eh3Jedhve_o</t>
  </si>
  <si>
    <t>AULA 02 A</t>
  </si>
  <si>
    <t>Fundamentos da metodologia científica e técnicas de pesquisa</t>
  </si>
  <si>
    <t>https://youtu.be/iWOu2YLwoJc</t>
  </si>
  <si>
    <t>https://youtu.be/XzaCGqqSaY8</t>
  </si>
  <si>
    <t>https://youtu.be/qDj-WRycQbY</t>
  </si>
  <si>
    <t>AULA 02 B</t>
  </si>
  <si>
    <t>Fundamentos da metodologia científica e técnicas de pesquisa - Parte 2</t>
  </si>
  <si>
    <t>https://youtu.be/dKM83WB6pwQ</t>
  </si>
  <si>
    <t>https://youtu.be/CVA3I2inBAE</t>
  </si>
  <si>
    <t>https://youtu.be/2Ol3bJWWENU</t>
  </si>
  <si>
    <t>A comunicação científica: rigor e ética em pesquisa</t>
  </si>
  <si>
    <t>https://youtu.be/Fk18X38Mn4o</t>
  </si>
  <si>
    <t>https://youtu.be/9T9xRmp2Hes</t>
  </si>
  <si>
    <t>https://youtu.be/coGzgwECh4I</t>
  </si>
  <si>
    <t>Organização de trabalho científico</t>
  </si>
  <si>
    <t>https://youtu.be/zS72bOJ3DZw</t>
  </si>
  <si>
    <t>https://youtu.be/rfw05ZbBYLc</t>
  </si>
  <si>
    <t>https://youtu.be/jXuSrBvV-uw</t>
  </si>
  <si>
    <t>Base de dados científicos: As pesquisas quantitativa e qualitativa</t>
  </si>
  <si>
    <t>https://youtu.be/NHxtCbc6pAI</t>
  </si>
  <si>
    <t>https://youtu.be/JaXoD7Pzbew</t>
  </si>
  <si>
    <t>https://youtu.be/ksh8mJT9p-8</t>
  </si>
  <si>
    <t>Desenvolvimento do projeto de pesquisa</t>
  </si>
  <si>
    <t>https://youtu.be/GwMEAxX5dfQ</t>
  </si>
  <si>
    <t>https://youtu.be/YmcnJmwuM_Q</t>
  </si>
  <si>
    <t>https://youtu.be/Y3eae_k8-6E</t>
  </si>
  <si>
    <t>Planejamento e elaboração de pesquisa</t>
  </si>
  <si>
    <t>https://youtu.be/AVBvcXeenPg</t>
  </si>
  <si>
    <t>https://youtu.be/Z_vppEFp6ng</t>
  </si>
  <si>
    <t>https://youtu.be/typONNp2SvU</t>
  </si>
  <si>
    <t>AULA EXTRA</t>
  </si>
  <si>
    <t>O estudo quantitativo e qualitativo do espaço rural</t>
  </si>
  <si>
    <t>https://youtu.be/OVK3r4haJcQ</t>
  </si>
  <si>
    <t>https://youtu.be/ykq_f6WYTrM</t>
  </si>
  <si>
    <t>https://youtu.be/Hi145T65iZg</t>
  </si>
  <si>
    <t>Pensamento Computacional (Professor Marcos Borges)</t>
  </si>
  <si>
    <t>AULA 00</t>
  </si>
  <si>
    <t>Bem-Vindos!</t>
  </si>
  <si>
    <t>https://youtu.be/01Hb_UV-yDA</t>
  </si>
  <si>
    <t>https://youtu.be/AwXHHf2C2v8</t>
  </si>
  <si>
    <t>https://youtu.be/jLF9qN4ccQk</t>
  </si>
  <si>
    <t>COM100-M</t>
  </si>
  <si>
    <t>O Século XXI e a computação na BNCC - Parte 1</t>
  </si>
  <si>
    <t>https://youtu.be/GGKLbcpO_DY</t>
  </si>
  <si>
    <t>https://youtu.be/GAl_hzwgkPQ</t>
  </si>
  <si>
    <t>https://youtu.be/exYvsThlNBA</t>
  </si>
  <si>
    <t>O Século XXI e a computação na BNCC - Parte 2</t>
  </si>
  <si>
    <t>https://youtu.be/0aPzdqLQezg</t>
  </si>
  <si>
    <t>https://youtu.be/SeVy0by8pL4</t>
  </si>
  <si>
    <t>https://youtu.be/TcWtyPiK-l4</t>
  </si>
  <si>
    <t>MATERIAL DE APOIO</t>
  </si>
  <si>
    <t>Jovem Engenheiro</t>
  </si>
  <si>
    <t>https://youtu.be/CavGI3hojDs</t>
  </si>
  <si>
    <t>https://youtu.be/zWwAzzonOgE</t>
  </si>
  <si>
    <t>https://youtu.be/m4M1VBkYZhU</t>
  </si>
  <si>
    <t>Pensamento Computacional - Parte 1</t>
  </si>
  <si>
    <t>https://youtu.be/L-rQmj3xMkI</t>
  </si>
  <si>
    <t>https://youtu.be/faNIO2I5juk</t>
  </si>
  <si>
    <t>https://youtu.be/obS_fRuerss</t>
  </si>
  <si>
    <t>Pensamento Computacional - Parte 2</t>
  </si>
  <si>
    <t>https://youtu.be/SSTaJdLNTRY</t>
  </si>
  <si>
    <t>https://youtu.be/OS9aLEoCIyo</t>
  </si>
  <si>
    <t>https://youtu.be/Ip0RxrJylNc</t>
  </si>
  <si>
    <t>Pensamento Computacional - Parte 3</t>
  </si>
  <si>
    <t>https://youtu.be/4Z5JhJylsic</t>
  </si>
  <si>
    <t>https://youtu.be/CoXqJJ0SKEo</t>
  </si>
  <si>
    <t>https://youtu.be/HG_niTkN0gA</t>
  </si>
  <si>
    <t>A teoria na prática</t>
  </si>
  <si>
    <t>https://youtu.be/CM-U0bX-0kQ</t>
  </si>
  <si>
    <t>Introdução ao Scratch</t>
  </si>
  <si>
    <t>https://youtu.be/3RW9zEiG6W4</t>
  </si>
  <si>
    <t>https://youtu.be/ufFePKFDobo</t>
  </si>
  <si>
    <t>https://youtu.be/ETZsyuocnFA</t>
  </si>
  <si>
    <t>Meu primeiro programa</t>
  </si>
  <si>
    <t>https://youtu.be/fIlciM63TLE</t>
  </si>
  <si>
    <t>https://youtu.be/etVsoXCc2sg</t>
  </si>
  <si>
    <t>https://youtu.be/kFV6_8Knr_0</t>
  </si>
  <si>
    <t>Estruturas de repetição</t>
  </si>
  <si>
    <t>https://youtu.be/AASk-CP-J88</t>
  </si>
  <si>
    <t>https://youtu.be/iFFrLLgxLIs</t>
  </si>
  <si>
    <t>https://youtu.be/VUHcnmr_1jk</t>
  </si>
  <si>
    <t>Condicionais - Parte 1</t>
  </si>
  <si>
    <t>https://youtu.be/Y9QwlY_GL_M</t>
  </si>
  <si>
    <t>https://youtu.be/FIiYxToV7eQ</t>
  </si>
  <si>
    <t>https://youtu.be/v9AZ7YQsn08</t>
  </si>
  <si>
    <t>Condicionais - Parte 2</t>
  </si>
  <si>
    <t>https://youtu.be/McVt05VV8lo</t>
  </si>
  <si>
    <t>https://youtu.be/OuZ722lFVtM</t>
  </si>
  <si>
    <t>https://youtu.be/vjRX5XPgwqY</t>
  </si>
  <si>
    <t>Sons, falas e fantasias</t>
  </si>
  <si>
    <t>https://youtu.be/RcJoHOw7fbM</t>
  </si>
  <si>
    <t>https://youtu.be/gJh77hXYTXs</t>
  </si>
  <si>
    <t>https://youtu.be/ynFyriLaTlY</t>
  </si>
  <si>
    <t>Variáveis</t>
  </si>
  <si>
    <t>https://youtu.be/Rgf9-jjrhDU</t>
  </si>
  <si>
    <t>https://youtu.be/-39VBlMzuRI</t>
  </si>
  <si>
    <t>https://youtu.be/InLpDrjgsnw</t>
  </si>
  <si>
    <t>Explorando projetos com arte e tecnologia no scratch</t>
  </si>
  <si>
    <t>https://youtu.be/7e7RgvT5zUw</t>
  </si>
  <si>
    <t>https://youtu.be/UE99zvuvhMs</t>
  </si>
  <si>
    <t>https://youtu.be/Fu0ziq7x9so</t>
  </si>
  <si>
    <t>Remixando projetos no scratch</t>
  </si>
  <si>
    <t>https://youtu.be/yteOg2jkoV0</t>
  </si>
  <si>
    <t>https://youtu.be/duYf995j98I</t>
  </si>
  <si>
    <t>https://youtu.be/3cCnuN5KEGQ</t>
  </si>
  <si>
    <t>Criando projetos autorais</t>
  </si>
  <si>
    <t>https://youtu.be/Y8Nogbn5ksw</t>
  </si>
  <si>
    <t>https://youtu.be/OpMNdHWPn3o</t>
  </si>
  <si>
    <t>https://youtu.be/pj_Cq4APxgc</t>
  </si>
  <si>
    <t>Criando projetos autorais com uso de extensão</t>
  </si>
  <si>
    <t>https://youtu.be/7gJktl2k97s</t>
  </si>
  <si>
    <t>https://youtu.be/wz6lFJKZGak</t>
  </si>
  <si>
    <t>https://youtu.be/p8MnsZchZmM</t>
  </si>
  <si>
    <t>Conteúdo digital e inteligência artificial - Parte 1</t>
  </si>
  <si>
    <t>https://youtu.be/HLgWwXI5fWo</t>
  </si>
  <si>
    <t>https://youtu.be/3oE9Qs_dclk</t>
  </si>
  <si>
    <t>https://youtu.be/EfxVbyDC4p4</t>
  </si>
  <si>
    <t>Conteúdo digital e inteligência artificial - Parte 2</t>
  </si>
  <si>
    <t>https://youtu.be/17dEbecypfE</t>
  </si>
  <si>
    <t>https://youtu.be/gdwbn0AL6gA</t>
  </si>
  <si>
    <t>https://youtu.be/UP_NkN0UWOE</t>
  </si>
  <si>
    <t>Conteúdo digital e inteligência artificial - Parte 3</t>
  </si>
  <si>
    <t>https://youtu.be/CvSbIY4f0GU</t>
  </si>
  <si>
    <t>https://youtu.be/EE82_DVsf1E</t>
  </si>
  <si>
    <t>https://youtu.be/5nCL2jYW9SY</t>
  </si>
  <si>
    <t>Conteúdo digital e inteligência artificial - Parte 4</t>
  </si>
  <si>
    <t>https://youtu.be/S5B31VYLlLA</t>
  </si>
  <si>
    <t>https://youtu.be/2zkbOYUTTZw</t>
  </si>
  <si>
    <t>https://youtu.be/LjyOOUrGO9E</t>
  </si>
  <si>
    <t>Conteúdo digital e inteligência artificial - Parte 5</t>
  </si>
  <si>
    <t>https://youtu.be/YFjqnRr00GA</t>
  </si>
  <si>
    <t>https://youtu.be/uL3-GYu8KiI</t>
  </si>
  <si>
    <t>https://youtu.be/62MjDU_r1Pg</t>
  </si>
  <si>
    <t>Conteúdo digital e inteligência artificial - Parte 6</t>
  </si>
  <si>
    <t>https://youtu.be/GtFf8ZZYVE4</t>
  </si>
  <si>
    <t>https://youtu.be/ztng7QRF0oQ</t>
  </si>
  <si>
    <t>https://youtu.be/Z5hhMuPkUU0</t>
  </si>
  <si>
    <t>Conteúdo digital e inteligência artificial - Parte 7</t>
  </si>
  <si>
    <t>https://youtu.be/-f27KPLQeHs</t>
  </si>
  <si>
    <t>https://youtu.be/hsoBHM8FuvA</t>
  </si>
  <si>
    <t>https://youtu.be/7uJqUAtXzvw</t>
  </si>
  <si>
    <t>2390P015450</t>
  </si>
  <si>
    <t>2390P015436</t>
  </si>
  <si>
    <t>O Século XXI e a computação na BNCC - Parte 2</t>
  </si>
  <si>
    <t>2390P015437</t>
  </si>
  <si>
    <t>2390E006221</t>
  </si>
  <si>
    <t>2390P015438</t>
  </si>
  <si>
    <t>https://youtu.be/Ntq26PHJ-MM</t>
  </si>
  <si>
    <t>2390P015439</t>
  </si>
  <si>
    <t>2390P015440</t>
  </si>
  <si>
    <t>A teoria na prática</t>
  </si>
  <si>
    <t xml:space="preserve">              (</t>
  </si>
  <si>
    <t xml:space="preserve">Introdução ao Scracth </t>
  </si>
  <si>
    <t>2390P015453</t>
  </si>
  <si>
    <t>2390P015454</t>
  </si>
  <si>
    <t>2390P015455</t>
  </si>
  <si>
    <t>2390P015456</t>
  </si>
  <si>
    <t>2390P015457</t>
  </si>
  <si>
    <t>2390P015458</t>
  </si>
  <si>
    <t>2390P015459</t>
  </si>
  <si>
    <t>Explorando projetos com arte e tecnologia no scracth</t>
  </si>
  <si>
    <t>2390P015460</t>
  </si>
  <si>
    <t>Remixando projetos no scracth</t>
  </si>
  <si>
    <t>2390P015461</t>
  </si>
  <si>
    <t>2390P015462</t>
  </si>
  <si>
    <t>2390P015463</t>
  </si>
  <si>
    <t>Conteúdo digital e inteligência artificial - Parte 1</t>
  </si>
  <si>
    <t>2390P015508</t>
  </si>
  <si>
    <t>Conteúdo digital e inteligência artificial - Parte 2</t>
  </si>
  <si>
    <t>2390P015509</t>
  </si>
  <si>
    <t>Conteúdo digital e inteligência artificial - Parte 3</t>
  </si>
  <si>
    <t>2390P015510</t>
  </si>
  <si>
    <t>Conteúdo digital e inteligência artificial - Parte 4</t>
  </si>
  <si>
    <t>2390P015511</t>
  </si>
  <si>
    <t>Conteúdo digital e inteligência artificial - Parte 5</t>
  </si>
  <si>
    <t>2390P015512</t>
  </si>
  <si>
    <t>Conteúdo digital e inteligência artificial - Parte 6</t>
  </si>
  <si>
    <t>2390P015513</t>
  </si>
  <si>
    <t>Conteúdo digital e inteligência artificial - Parte 7</t>
  </si>
  <si>
    <t>2390P015514</t>
  </si>
  <si>
    <t>ID BRUTO</t>
  </si>
  <si>
    <t xml:space="preserve"> Login com E-mail Univesp</t>
  </si>
  <si>
    <t>https://youtu.be/IBXjbB0yzrA</t>
  </si>
  <si>
    <t>2390B013428</t>
  </si>
  <si>
    <t xml:space="preserve"> E-mail Univesp</t>
  </si>
  <si>
    <t>https://youtu.be/RhX9z4-pN1E</t>
  </si>
  <si>
    <t>2390B013429</t>
  </si>
  <si>
    <t xml:space="preserve"> Login Teams</t>
  </si>
  <si>
    <t>https://youtu.be/_G4Bd76P7Dc</t>
  </si>
  <si>
    <t>2390B013430</t>
  </si>
  <si>
    <t xml:space="preserve"> Teams Informativo</t>
  </si>
  <si>
    <t>https://youtu.be/iaJGjWHId8o</t>
  </si>
  <si>
    <t>2390B013431</t>
  </si>
  <si>
    <t xml:space="preserve"> Teams Tutoriais</t>
  </si>
  <si>
    <t>https://youtu.be/2fB5eRH3W0o</t>
  </si>
  <si>
    <t>2390B013432</t>
  </si>
  <si>
    <t xml:space="preserve"> Atendimento</t>
  </si>
  <si>
    <t>https://youtu.be/T3PoVJPss3Y</t>
  </si>
  <si>
    <t>2390B013433</t>
  </si>
  <si>
    <t xml:space="preserve"> Formulários</t>
  </si>
  <si>
    <t>https://youtu.be/HGK3z-3eVPo</t>
  </si>
  <si>
    <t>2390B013434</t>
  </si>
  <si>
    <t xml:space="preserve"> AVA</t>
  </si>
  <si>
    <t>https://youtu.be/GIlup20xHLE</t>
  </si>
  <si>
    <t>2390B013435</t>
  </si>
  <si>
    <t xml:space="preserve"> Manual do Aluno</t>
  </si>
  <si>
    <t>https://youtu.be/YPA623GUF48</t>
  </si>
  <si>
    <t>2390B013436</t>
  </si>
  <si>
    <t xml:space="preserve"> Atividades das Equipes</t>
  </si>
  <si>
    <t>https://youtu.be/DfuQpwWk6iE</t>
  </si>
  <si>
    <t>2390B013437/2390B013438</t>
  </si>
  <si>
    <t xml:space="preserve"> Acessos as Plataformas SEI - Provas</t>
  </si>
  <si>
    <t>https://youtu.be/KiEM9XylOaA</t>
  </si>
  <si>
    <t>2390B013460</t>
  </si>
  <si>
    <t xml:space="preserve"> Bloqueio de Provas</t>
  </si>
  <si>
    <t>https://youtu.be/8cHORvaq_gc</t>
  </si>
  <si>
    <t>2390B013461</t>
  </si>
  <si>
    <t xml:space="preserve"> Como Avaliar Alunos no SEI</t>
  </si>
  <si>
    <t>https://youtu.be/TGEh8rWRYJc</t>
  </si>
  <si>
    <t>2390B013462</t>
  </si>
  <si>
    <t xml:space="preserve"> Digitalização e Upload de Cartões</t>
  </si>
  <si>
    <t>https://youtu.be/Mi7WoGG1X6M</t>
  </si>
  <si>
    <t>2390B013463</t>
  </si>
  <si>
    <t xml:space="preserve"> Identificação e Correção de Erros no Upload</t>
  </si>
  <si>
    <t>https://youtu.be/zT-5XLZ_sVM</t>
  </si>
  <si>
    <t>2390B013464</t>
  </si>
  <si>
    <t xml:space="preserve"> Impressão de Provas e Documentos</t>
  </si>
  <si>
    <t>https://youtu.be/7JB3RfnzCyc</t>
  </si>
  <si>
    <t>2390B013465</t>
  </si>
  <si>
    <t xml:space="preserve"> Principais Perguntas Sobre Provas</t>
  </si>
  <si>
    <t>https://youtu.be/z6q46aImd2E</t>
  </si>
  <si>
    <t>2390B013466</t>
  </si>
  <si>
    <t xml:space="preserve"> Processamento de Cartões</t>
  </si>
  <si>
    <t>https://youtu.be/D1f25vUkUDM</t>
  </si>
  <si>
    <t>2390B013467</t>
  </si>
  <si>
    <t xml:space="preserve"> Requerimentos PCD</t>
  </si>
  <si>
    <t>https://youtu.be/voUk2-gz2PY</t>
  </si>
  <si>
    <t>2390B013468</t>
  </si>
  <si>
    <t xml:space="preserve"> Sistemas de Provas</t>
  </si>
  <si>
    <t>https://youtu.be/C9BPDORt8Ak</t>
  </si>
  <si>
    <t>2390B013469</t>
  </si>
  <si>
    <t xml:space="preserve"> Tipos de Prova</t>
  </si>
  <si>
    <t>https://youtu.be/5q2ce-ZeQ20</t>
  </si>
  <si>
    <t>2390B013470</t>
  </si>
  <si>
    <t xml:space="preserve"> Upload de ATA de ocorrência e lista de presença</t>
  </si>
  <si>
    <t>https://youtu.be/oiRnMawHJ0E</t>
  </si>
  <si>
    <t>2390B013471</t>
  </si>
  <si>
    <t xml:space="preserve"> Visão do Aluno</t>
  </si>
  <si>
    <t>https://youtu.be/HtxYcDc7XSE</t>
  </si>
  <si>
    <t>2390B013472</t>
  </si>
  <si>
    <t xml:space="preserve"> Instruções Normativas sobre Provas</t>
  </si>
  <si>
    <t>https://youtu.be/2djy8_ea7hE</t>
  </si>
  <si>
    <t>2390B013473</t>
  </si>
  <si>
    <t xml:space="preserve"> bloqueio de provas</t>
  </si>
  <si>
    <t>https://youtu.be/bpiiZXI5XL4</t>
  </si>
  <si>
    <t>2390B013601</t>
  </si>
  <si>
    <t xml:space="preserve"> funcionalidades do sei</t>
  </si>
  <si>
    <t>2390B013602</t>
  </si>
  <si>
    <t xml:space="preserve"> funcionalidade do sei: consulta de requerimento</t>
  </si>
  <si>
    <t>https://youtu.be/_cDShEjoT60</t>
  </si>
  <si>
    <t>2390B013603</t>
  </si>
  <si>
    <t xml:space="preserve"> consulta de requerimento de trancamento/ cancelamento</t>
  </si>
  <si>
    <t>https://youtu.be/ffY5z1oLpT4</t>
  </si>
  <si>
    <t>2390B013604</t>
  </si>
  <si>
    <t xml:space="preserve"> documentos expedidos</t>
  </si>
  <si>
    <t>https://youtu.be/5A3gzT_PnfY</t>
  </si>
  <si>
    <t>2390B013605</t>
  </si>
  <si>
    <t xml:space="preserve"> consulta aluno</t>
  </si>
  <si>
    <t>https://youtu.be/6Dl5-dXFDXk</t>
  </si>
  <si>
    <t>2390B013606</t>
  </si>
  <si>
    <t>Episódio</t>
  </si>
  <si>
    <t>ID YOUTUBE / APP</t>
  </si>
  <si>
    <t>duração</t>
  </si>
  <si>
    <t>data postagem</t>
  </si>
  <si>
    <t>Disponivel no app</t>
  </si>
  <si>
    <t>QUEM SABE, GANHA - 01 - BORBOREMA X VARGEM GRANDE PAULISTA</t>
  </si>
  <si>
    <t>3147P000041</t>
  </si>
  <si>
    <t>6-jun.</t>
  </si>
  <si>
    <t>https://youtu.be/7VFatHn2_6M</t>
  </si>
  <si>
    <t>SIM</t>
  </si>
  <si>
    <t>QUEM SABE, GANHA - 02 - SERTÃOZINHO X SANTANA DE PARNAÍBA</t>
  </si>
  <si>
    <t>3147P000046</t>
  </si>
  <si>
    <t>13-jun.</t>
  </si>
  <si>
    <t>https://youtu.be/7910pqXDncA</t>
  </si>
  <si>
    <t>QUEM SABE, GANHA - 03 - GUARUJÁ X SÃO BERNARDO DO CAMPO</t>
  </si>
  <si>
    <t>3147P000049</t>
  </si>
  <si>
    <t>20-jun.</t>
  </si>
  <si>
    <t>https://youtu.be/PDvOG5yg9UQ</t>
  </si>
  <si>
    <t>QUEM SABE, GANHA - 04 - MIRANTE DO PARANAPANEMA X ITAPECERICA DA SERRA</t>
  </si>
  <si>
    <t>3147P000045</t>
  </si>
  <si>
    <t>27-jun.</t>
  </si>
  <si>
    <t>https://youtu.be/sm99pV6zXOY</t>
  </si>
  <si>
    <t>QUEM SABE, GANHA - 05 - POÁ X ITAQUAQUECETUBA</t>
  </si>
  <si>
    <t>3147P000051</t>
  </si>
  <si>
    <t>4-jul.</t>
  </si>
  <si>
    <t>https://youtu.be/DD57NZJVyX4</t>
  </si>
  <si>
    <t>QUEM SABE, GANHA - 06 - ITÁPOLIS X FRANCA</t>
  </si>
  <si>
    <t>3147P000044</t>
  </si>
  <si>
    <t>11-jul.</t>
  </si>
  <si>
    <t>https://youtu.be/oLKdX7vxhMo</t>
  </si>
  <si>
    <t>QUEM SABE, GANHA - 07 - IGARAPAVA X CLEMENTINA</t>
  </si>
  <si>
    <t>3147P000040</t>
  </si>
  <si>
    <t>18-jul.</t>
  </si>
  <si>
    <t>https://youtu.be/Fzc2aGIAGFs</t>
  </si>
  <si>
    <t>QUEM SABE, GANHA - 08 - TUPÃ X POÁ</t>
  </si>
  <si>
    <t>3147P000050</t>
  </si>
  <si>
    <t>25-jul.</t>
  </si>
  <si>
    <t>https://youtu.be/d9yq1KVc1vE</t>
  </si>
  <si>
    <t>QUEM SABE, GANHA - 09 - CAJURU X SÃO PAULO</t>
  </si>
  <si>
    <t>3147P000042</t>
  </si>
  <si>
    <t>1-ago.</t>
  </si>
  <si>
    <t>https://youtu.be/W2Mdy_oox1o</t>
  </si>
  <si>
    <t>QUEM SABE, GANHA - 10 - ITAPECERICA DA SERRA X ITAPETININGA</t>
  </si>
  <si>
    <t>3147P000048</t>
  </si>
  <si>
    <t>8-ago.</t>
  </si>
  <si>
    <t>https://youtu.be/b2mRlLOrGLY</t>
  </si>
  <si>
    <t>QUEM SABE, GANHA - 11 - BARÃO DE ANTONINA X SÃO PAULO</t>
  </si>
  <si>
    <t>3147P000043</t>
  </si>
  <si>
    <t>15-ago.</t>
  </si>
  <si>
    <t>https://youtu.be/huNyTWmg78o</t>
  </si>
  <si>
    <t>QUEM SABE, GANHA - 12 - OSASCO X SÃO PAULO</t>
  </si>
  <si>
    <t>3147P000047</t>
  </si>
  <si>
    <t>22-ago.</t>
  </si>
  <si>
    <t>https://youtu.be/LZ3LVdaBDFg</t>
  </si>
  <si>
    <t>QUEM SABE, GANHA - 13 - SÃO JOSÉ DOS CAMPOS X ITAPECERICA DA SERRA</t>
  </si>
  <si>
    <t>3147P000052</t>
  </si>
  <si>
    <t>29-ago.</t>
  </si>
  <si>
    <t>https://youtu.be/5QfqzH9OAec</t>
  </si>
  <si>
    <t>ID LIBRAS</t>
  </si>
  <si>
    <t>Link LIBRAS</t>
  </si>
  <si>
    <t>ID AUDIODESCRIÇÃO</t>
  </si>
  <si>
    <t>Link AD</t>
  </si>
  <si>
    <t>Disciplina Paulista de Acessibilidade</t>
  </si>
  <si>
    <t xml:space="preserve">Introdução e Apresentação da Disciplina </t>
  </si>
  <si>
    <t>3164P000129</t>
  </si>
  <si>
    <t>https://youtu.be/YHjL_xmN7go</t>
  </si>
  <si>
    <t>3164P000059</t>
  </si>
  <si>
    <t>https://youtu.be/E69-DYsTaeM</t>
  </si>
  <si>
    <t>Museu da Inclusão</t>
  </si>
  <si>
    <t>3164P000121</t>
  </si>
  <si>
    <t>https://youtu.be/RrzX_5Vx2IQ</t>
  </si>
  <si>
    <t>3164P000060</t>
  </si>
  <si>
    <t>https://youtu.be/1CU4Rd9_2lI</t>
  </si>
  <si>
    <t>Evolução do Conhecimento da População sobre Deficiência Intelectual (Univesp 2024).</t>
  </si>
  <si>
    <t>3164P000102</t>
  </si>
  <si>
    <t>https://youtu.be/BcQO8uChjcY</t>
  </si>
  <si>
    <t>3164P000061</t>
  </si>
  <si>
    <t>https://youtu.be/RP3R_Qp9e6I</t>
  </si>
  <si>
    <t>Entrevista com Professor Doutor Clodoaldo Meneguello Cardoso</t>
  </si>
  <si>
    <t>3164P000130</t>
  </si>
  <si>
    <t>https://youtu.be/0XELkbdzp3k</t>
  </si>
  <si>
    <t>3164P000062</t>
  </si>
  <si>
    <t>https://youtu.be/TWzBDvUeXxY</t>
  </si>
  <si>
    <t>Fundamentos históricos legais e concetuais da inclusão</t>
  </si>
  <si>
    <t>3164P000104</t>
  </si>
  <si>
    <t>https://youtu.be/snq5ipWlj4M</t>
  </si>
  <si>
    <t>3164P000063</t>
  </si>
  <si>
    <t>https://youtu.be/O4HhvFeTIes</t>
  </si>
  <si>
    <t>Entrevista com Professora Doutora Carla Biancha Angelucci</t>
  </si>
  <si>
    <t>3164P000137</t>
  </si>
  <si>
    <t>https://youtu.be/UI_zMgoLByc</t>
  </si>
  <si>
    <t>3164P000064</t>
  </si>
  <si>
    <t>https://youtu.be/VrVaiYfXPHU</t>
  </si>
  <si>
    <t>Deficiência e capacitismo</t>
  </si>
  <si>
    <t>3164P000106</t>
  </si>
  <si>
    <t>https://youtu.be/BTyL_GXwaV4</t>
  </si>
  <si>
    <t>3164P000065</t>
  </si>
  <si>
    <t>https://youtu.be/_ukBwx-M7-Q</t>
  </si>
  <si>
    <t>Entrevista com Professor Especialista Ivan de Oliveira Freitas</t>
  </si>
  <si>
    <t>3164P000107</t>
  </si>
  <si>
    <t>https://youtu.be/T9ccWdju7AQ</t>
  </si>
  <si>
    <t>3164P000066</t>
  </si>
  <si>
    <t>https://youtu.be/vxd1fGoj5eU</t>
  </si>
  <si>
    <t>Entrevista com Professor Doutor Honoris Causa Marcos da Costa, Secretário de Estado dos Direitos da Pessoa com Deficiência.</t>
  </si>
  <si>
    <t>3164P000131</t>
  </si>
  <si>
    <t>https://youtu.be/imFYu-lUMXY</t>
  </si>
  <si>
    <t>3164P000067</t>
  </si>
  <si>
    <t>https://youtu.be/5vK8_kUacn8</t>
  </si>
  <si>
    <t>Univesp por Elas - Entrevista com Cláudia Carletto</t>
  </si>
  <si>
    <t>3164P000122</t>
  </si>
  <si>
    <t>https://youtu.be/TB-8CxPeDgE</t>
  </si>
  <si>
    <t>3164P000068</t>
  </si>
  <si>
    <t>https://youtu.be/bVGpA-9SH-I</t>
  </si>
  <si>
    <t>Acessibilidade</t>
  </si>
  <si>
    <t>3164P000109</t>
  </si>
  <si>
    <t>https://youtu.be/okfKyMM8vm0</t>
  </si>
  <si>
    <t>3164P000069</t>
  </si>
  <si>
    <t>https://youtu.be/zK9Mdu5Yfs4</t>
  </si>
  <si>
    <t>Videoaula animada: Dimensões da Acessibilidade Parte I</t>
  </si>
  <si>
    <t>3164P000024</t>
  </si>
  <si>
    <t>https://youtu.be/u3sntETrLQw</t>
  </si>
  <si>
    <t>3164P000070</t>
  </si>
  <si>
    <t>https://youtu.be/H8BLLgcpNzw</t>
  </si>
  <si>
    <t>Videoaula animada: Dimensões da Acessibilidade Parte II</t>
  </si>
  <si>
    <t>3164P000026</t>
  </si>
  <si>
    <t>https://youtu.be/Cgvj-ujsuiw</t>
  </si>
  <si>
    <t>3164P000071</t>
  </si>
  <si>
    <t>https://youtu.be/vFB80FG0caE</t>
  </si>
  <si>
    <t>Entrevista com Professora Doutora Anna Maria Lunardi Padilha</t>
  </si>
  <si>
    <t>3164P000132</t>
  </si>
  <si>
    <t>https://youtu.be/mnMio2DM_V8</t>
  </si>
  <si>
    <t>3164P000072</t>
  </si>
  <si>
    <t>https://youtu.be/iCC2qKgBcZ0</t>
  </si>
  <si>
    <t>Fala Doutor - Cássia Geciauskas Sofiato: Do desenho à litografia - PGM 18 (2012)</t>
  </si>
  <si>
    <t>3164P000030</t>
  </si>
  <si>
    <t>https://youtu.be/a3gFtcFS8_c</t>
  </si>
  <si>
    <t>3164P000073</t>
  </si>
  <si>
    <t>https://youtu.be/Mx5V-txH-CA</t>
  </si>
  <si>
    <t>Entrevista com Professora Doutora Lígia Rodrigues Balista</t>
  </si>
  <si>
    <t>3164P000133</t>
  </si>
  <si>
    <t>https://youtu.be/sp0wbwJ2R-U</t>
  </si>
  <si>
    <t>3164P000074</t>
  </si>
  <si>
    <t>https://youtu.be/E6rMzM-l25E</t>
  </si>
  <si>
    <t>Conhecimento da população sobre LIBRAS (2024)</t>
  </si>
  <si>
    <t>3164P000124</t>
  </si>
  <si>
    <t>https://youtu.be/nPzZ-4E6uBk</t>
  </si>
  <si>
    <t>3164P000125</t>
  </si>
  <si>
    <t>https://youtu.be/-M_vNKTvfo0</t>
  </si>
  <si>
    <t>Tecnologia assistiva</t>
  </si>
  <si>
    <t>3164P000113</t>
  </si>
  <si>
    <t>https://youtu.be/b36gH-yYGtg</t>
  </si>
  <si>
    <t>3164P000076</t>
  </si>
  <si>
    <t>https://youtu.be/J3dk4pYSTrg</t>
  </si>
  <si>
    <t>D-30 - A tecnologia na Educação Inclusiva</t>
  </si>
  <si>
    <t>3164P000038</t>
  </si>
  <si>
    <t>https://youtu.be/qunN5PqZblI</t>
  </si>
  <si>
    <t>3164P000077</t>
  </si>
  <si>
    <t>https://youtu.be/s0BK3eTMQhA</t>
  </si>
  <si>
    <t>Entrevista com Professor Mestre Uilian Donizeti Vigentim</t>
  </si>
  <si>
    <t>3164P000114</t>
  </si>
  <si>
    <t>https://youtu.be/DtPxaVcdIw4</t>
  </si>
  <si>
    <t>3164P000078</t>
  </si>
  <si>
    <t>https://youtu.be/o_EEjBjlaOM</t>
  </si>
  <si>
    <t>Entrevista com Professora Doutora Adriana Clementino</t>
  </si>
  <si>
    <t>3164P000134</t>
  </si>
  <si>
    <t>https://youtu.be/vNYjwP86Q78</t>
  </si>
  <si>
    <t>3164P000079</t>
  </si>
  <si>
    <t>https://youtu.be/jax5JEzmzvA</t>
  </si>
  <si>
    <t>Desenho Universal para Aprendizagem (DUA)</t>
  </si>
  <si>
    <t>3164P000116</t>
  </si>
  <si>
    <t>https://youtu.be/3jfh7nyl3cc</t>
  </si>
  <si>
    <t>3164P000080</t>
  </si>
  <si>
    <t>https://youtu.be/nc7iCPDr1OE</t>
  </si>
  <si>
    <t>Entrevista com Professora Doutora Núbia Bernardi</t>
  </si>
  <si>
    <t>3164P000117</t>
  </si>
  <si>
    <t>https://youtu.be/HQLdbbwKen0</t>
  </si>
  <si>
    <t>3164P000081</t>
  </si>
  <si>
    <t>https://youtu.be/KFQJhX_WKlU</t>
  </si>
  <si>
    <t>Entrevista com Professor Doutor Eladio Sebastián Heredero</t>
  </si>
  <si>
    <t>3164P000118</t>
  </si>
  <si>
    <t>https://youtu.be/NztEvFXsjF4</t>
  </si>
  <si>
    <t>3164P000082</t>
  </si>
  <si>
    <t>https://youtu.be/js9sH9fSRac</t>
  </si>
  <si>
    <t>Ampliando conhecimentos sobre acessibilidade e inclusão</t>
  </si>
  <si>
    <t>3164P000119</t>
  </si>
  <si>
    <t>https://youtu.be/Hq4e6t6fhHw</t>
  </si>
  <si>
    <t>3164P000083</t>
  </si>
  <si>
    <t>https://youtu.be/E54aFmKBKVY</t>
  </si>
  <si>
    <t>Entrevista com Professora Mestra Aldine Nogueira da Silva</t>
  </si>
  <si>
    <t>https://youtu.be/2l76ukmTN0A</t>
  </si>
  <si>
    <t>3164P000084</t>
  </si>
  <si>
    <t>https://youtu.be/9s5wlJSMQlA</t>
  </si>
  <si>
    <t xml:space="preserve">Entrevista com Professora Doutora Cristina Bressaglia Lucon </t>
  </si>
  <si>
    <t>3164P000054</t>
  </si>
  <si>
    <t>https://youtu.be/PzT8jxsEtwk</t>
  </si>
  <si>
    <t>3164P000085</t>
  </si>
  <si>
    <t>https://youtu.be/6R-cnO1WTs8</t>
  </si>
  <si>
    <t>Entrevista com Professora Doutora Cícera Aparecida Lima Malheiro</t>
  </si>
  <si>
    <t>3164P000136</t>
  </si>
  <si>
    <t>https://youtu.be/K6X9yZ6_2QQ</t>
  </si>
  <si>
    <t>3164P000086</t>
  </si>
  <si>
    <t>https://youtu.be/hHbYDbJ_E5Y</t>
  </si>
  <si>
    <t>Eixo Articulador - A Política Nacional para a Educação Inclusiva: Avanços e Desafios</t>
  </si>
  <si>
    <t>3164P000088</t>
  </si>
  <si>
    <t>https://youtu.be/a2rkyo9zLCk</t>
  </si>
  <si>
    <t>3164P000089</t>
  </si>
  <si>
    <t>https://youtu.be/kIQcdywRh5U</t>
  </si>
  <si>
    <t>Dia Mundial do Braille: deficientes visuais enfrentam dificuldades para educação inclusiva</t>
  </si>
  <si>
    <t>3164P000098</t>
  </si>
  <si>
    <t>https://youtu.be/Y7auuGCwQWQ</t>
  </si>
  <si>
    <t>3164P000099</t>
  </si>
  <si>
    <t>https://youtu.be/H5nTzwjSLkE</t>
  </si>
  <si>
    <t>???</t>
  </si>
  <si>
    <t>Revisão final</t>
  </si>
  <si>
    <t>3164P000058</t>
  </si>
  <si>
    <t>https://youtu.be/L5VsUNLeZgw</t>
  </si>
  <si>
    <t>3164P000087</t>
  </si>
  <si>
    <t>https://youtu.be/M3yO2lbOux0</t>
  </si>
  <si>
    <t>CÓD.</t>
  </si>
  <si>
    <t>DISCIPLINA</t>
  </si>
  <si>
    <t>Legenda Original</t>
  </si>
  <si>
    <t>Legenda LIBRAS</t>
  </si>
  <si>
    <t xml:space="preserve">AVA </t>
  </si>
  <si>
    <t>SCR001</t>
  </si>
  <si>
    <r>
      <t xml:space="preserve">Teorias do Currículo / Licenciaturas 2019.2 </t>
    </r>
    <r>
      <rPr>
        <sz val="12"/>
        <color rgb="FF1F1F1F"/>
        <rFont val="Calibri"/>
        <charset val="1"/>
      </rPr>
      <t>(Prof.Marcos Garcia Neira)</t>
    </r>
  </si>
  <si>
    <t>Apresentação do curso</t>
  </si>
  <si>
    <t>https://youtu.be/xjytbB7IAW8</t>
  </si>
  <si>
    <t>https://youtu.be/w6QIK30X8SM</t>
  </si>
  <si>
    <t>https://youtu.be/2FgBvOXC4ow</t>
  </si>
  <si>
    <t>Currículo: história e concepções</t>
  </si>
  <si>
    <t>https://youtu.be/YWys2JtHYrs</t>
  </si>
  <si>
    <t>https://youtu.be/4Gum-AvzeZo</t>
  </si>
  <si>
    <t>https://youtu.be/6FbjyEHQk3Y</t>
  </si>
  <si>
    <t>Teorias tradicionais do currículo: Pedagogia Tradicional</t>
  </si>
  <si>
    <t>https://youtu.be/S2EJaCn4kI8</t>
  </si>
  <si>
    <t>https://youtu.be/lXGWLVCZ5nk</t>
  </si>
  <si>
    <t>https://youtu.be/iP-iCxOWVSY</t>
  </si>
  <si>
    <t>Teorias tradicionais do currículo: escolanovismo</t>
  </si>
  <si>
    <t>https://youtu.be/-J2YXURxPXg</t>
  </si>
  <si>
    <t>https://youtu.be/QBfZ5DR3Htc</t>
  </si>
  <si>
    <t>https://youtu.be/ruv1RTn2K5c</t>
  </si>
  <si>
    <t>Teorias tradicionais do currículo: tecnicismo</t>
  </si>
  <si>
    <t>https://youtu.be/zLNex2F2yuQ</t>
  </si>
  <si>
    <t>https://youtu.be/XIGS3jjz8cQ</t>
  </si>
  <si>
    <t>https://youtu.be/yzXgNn_pNQU</t>
  </si>
  <si>
    <t>Teorias críticas do currículo: reprodutivistas</t>
  </si>
  <si>
    <t>https://youtu.be/JTNBzQy49pc</t>
  </si>
  <si>
    <t>https://youtu.be/Q8LS0u1QMDM</t>
  </si>
  <si>
    <t>https://youtu.be/6IWmBkGlfbQ</t>
  </si>
  <si>
    <t>Teorias críticas do currículo: reconceptualistas e neomarxistas</t>
  </si>
  <si>
    <t>https://youtu.be/QLrYOm7tep0</t>
  </si>
  <si>
    <t>https://youtu.be/VqP48f_MkvM</t>
  </si>
  <si>
    <t>https://youtu.be/hkgLaFKKLrs</t>
  </si>
  <si>
    <t>Teorias críticas do currículo: Nova Sociologia da Educação</t>
  </si>
  <si>
    <t>https://youtu.be/ZSiUf7cxF1M</t>
  </si>
  <si>
    <t>https://youtu.be/aFBm61hOKig</t>
  </si>
  <si>
    <t>https://youtu.be/7nFINwpLnG0</t>
  </si>
  <si>
    <t>Teorias críticas do currículo: pedagogia libertadora</t>
  </si>
  <si>
    <t>https://youtu.be/Gx5MGxpz1BY</t>
  </si>
  <si>
    <t>https://youtu.be/QYiapV5fUVU</t>
  </si>
  <si>
    <t>https://youtu.be/_euO5eOBNp4</t>
  </si>
  <si>
    <t>Teorias críticas do currículo: Pedagogia dos Conteúdos</t>
  </si>
  <si>
    <t>https://youtu.be/pz2NxQYws48</t>
  </si>
  <si>
    <t>https://youtu.be/2F-0ygjwBSs</t>
  </si>
  <si>
    <t>https://youtu.be/evcy7Aftuu4</t>
  </si>
  <si>
    <t>Teorias do Currículo - Teorias pós-críticas do currículo: Multiculturalismo crítico</t>
  </si>
  <si>
    <t>https://youtu.be/pPGT6ZWTfwU</t>
  </si>
  <si>
    <t>https://youtu.be/bUg25nSgmIg</t>
  </si>
  <si>
    <t>https://youtu.be/57mNk9uxX14</t>
  </si>
  <si>
    <t>Teorias pós-críticas do currículo: estudos feministas e teoria queer</t>
  </si>
  <si>
    <t>https://youtu.be/o3bLXPwkKVM</t>
  </si>
  <si>
    <t>https://youtu.be/-oTS05zs7r8</t>
  </si>
  <si>
    <t>https://youtu.be/eT1v_ywgL-w</t>
  </si>
  <si>
    <t>Teorias pós-críticas do currículo: pós-modernismo</t>
  </si>
  <si>
    <t>https://youtu.be/m9e9sAF1eCo</t>
  </si>
  <si>
    <t>https://youtu.be/WkgPavaOSB0</t>
  </si>
  <si>
    <t>em correção</t>
  </si>
  <si>
    <t>https://youtu.be/8HAQDB_lRqE</t>
  </si>
  <si>
    <t>Teorias pós-críticas do currículo: pós-estruturalismo</t>
  </si>
  <si>
    <t>https://youtu.be/NKNimSPNvb0</t>
  </si>
  <si>
    <t>procedimento interno</t>
  </si>
  <si>
    <t>https://youtu.be/GfjUEAeh4p8</t>
  </si>
  <si>
    <t>https://youtu.be/h1w4vKop-oQ</t>
  </si>
  <si>
    <t>Teorias pós-críticas do currículo: pós-colonialismo</t>
  </si>
  <si>
    <t>https://youtu.be/lh-27JpCxc4</t>
  </si>
  <si>
    <t>https://youtu.be/zddMzhikLKk</t>
  </si>
  <si>
    <t>https://youtu.be/CzqxzN-Xh4Q</t>
  </si>
  <si>
    <t>Teorias pós-críticas do currículo: estudos culturais</t>
  </si>
  <si>
    <t>https://youtu.be/qhXkCr70CHs</t>
  </si>
  <si>
    <t>https://youtu.be/HvA7y5UtEak</t>
  </si>
  <si>
    <t>https://youtu.be/t9jt6wJBmzA</t>
  </si>
  <si>
    <t>Teorias pós-críticas do currículo: princípios curriculares</t>
  </si>
  <si>
    <t>https://youtu.be/0LoNnmhG_GM</t>
  </si>
  <si>
    <t>https://youtu.be/X-TACuTZvj0</t>
  </si>
  <si>
    <t>https://youtu.be/jXR1O3a6YZM</t>
  </si>
  <si>
    <t>Políticas curriculares</t>
  </si>
  <si>
    <t>https://youtu.be/RrXnHwuJB24</t>
  </si>
  <si>
    <t>https://youtu.be/fH32emxK0lM</t>
  </si>
  <si>
    <t>https://youtu.be/NetNtfS3i4g</t>
  </si>
  <si>
    <t>Documentos curriculares</t>
  </si>
  <si>
    <t>https://youtu.be/WBQdlBh6Ezo</t>
  </si>
  <si>
    <t>https://youtu.be/zlifHNW3djc</t>
  </si>
  <si>
    <t>https://youtu.be/f36WU6YJ_gw</t>
  </si>
  <si>
    <t>Projeto político-pedagógico</t>
  </si>
  <si>
    <t>https://youtu.be/M_1gCThR1aE</t>
  </si>
  <si>
    <t>https://youtu.be/4RsrlsPngBo</t>
  </si>
  <si>
    <t>em edição</t>
  </si>
  <si>
    <t>https://youtu.be/Ucs6lY2yvcs</t>
  </si>
  <si>
    <t>Revisão</t>
  </si>
  <si>
    <t>https://youtu.be/qD7xl0ZZjhk</t>
  </si>
  <si>
    <t>https://youtu.be/GS3lDKBVvNA</t>
  </si>
  <si>
    <t>https://youtu.be/KON6-3-XIy8</t>
  </si>
  <si>
    <t>TTG-001</t>
  </si>
  <si>
    <t>Metodologia Científica (Prof.Davi Nakano)</t>
  </si>
  <si>
    <t>Introdução</t>
  </si>
  <si>
    <t>https://youtu.be/7uFgLMqYMj0</t>
  </si>
  <si>
    <t>Princípios da Pesquisa Científica</t>
  </si>
  <si>
    <t>https://youtu.be/ddgIon2LEVQ</t>
  </si>
  <si>
    <t>Definindo o Problema de Pesquisa e o Planejamento do Projeto</t>
  </si>
  <si>
    <t>https://youtu.be/qb-GWBrZ0XA</t>
  </si>
  <si>
    <t>Encontrando e Utilizando a Teoria</t>
  </si>
  <si>
    <t>https://youtu.be/_Y6orSalq80</t>
  </si>
  <si>
    <t>Levantando Dados e Informações</t>
  </si>
  <si>
    <t>https://youtu.be/IuRvyMKwR9w</t>
  </si>
  <si>
    <t>Interpretando Dados e Informações</t>
  </si>
  <si>
    <t>https://youtu.be/6ieulJ6V4xQ</t>
  </si>
  <si>
    <t>Concluindo o Projeto de Pesquisa</t>
  </si>
  <si>
    <t>https://youtu.be/ypEOLAGsqs0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</si>
</sst>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53">
    <font>
      <sz val="11"/>
      <color theme="1"/>
      <name val="Calibri"/>
      <family val="2"/>
      <scheme val="minor"/>
    </font>
    <font>
      <sz val="11"/>
      <color rgb="FF000000"/>
      <name val="Calibri"/>
      <family val="2"/>
      <scheme val="minor"/>
    </font>
    <font>
      <sz val="8"/>
      <name val="Calibri"/>
      <family val="2"/>
      <scheme val="minor"/>
    </font>
    <font>
      <b/>
      <sz val="10"/>
      <color rgb="FF000000"/>
      <name val="Trebuchet MS"/>
      <family val="2"/>
    </font>
    <font>
      <sz val="10"/>
      <color rgb="FF000000"/>
      <name val="Trebuchet MS"/>
      <family val="2"/>
    </font>
    <font>
      <u/>
      <sz val="11"/>
      <color theme="10"/>
      <name val="Calibri"/>
      <family val="2"/>
      <scheme val="minor"/>
    </font>
    <font>
      <sz val="11"/>
      <color theme="1"/>
      <name val="Calibri"/>
      <family val="2"/>
    </font>
    <font>
      <sz val="11"/>
      <color rgb="FF000000"/>
      <name val="Calibri"/>
      <family val="2"/>
    </font>
    <font>
      <b/>
      <sz val="10"/>
      <color rgb="FF000000"/>
      <name val="Trebuchet MS"/>
    </font>
    <font>
      <sz val="11"/>
      <color theme="1"/>
      <name val="Calibri"/>
    </font>
    <font>
      <sz val="11"/>
      <color rgb="FF000000"/>
      <name val="Calibri"/>
    </font>
    <font>
      <sz val="11"/>
      <color rgb="FFFF0000"/>
      <name val="Calibri"/>
      <family val="2"/>
      <scheme val="minor"/>
    </font>
    <font>
      <sz val="11"/>
      <color theme="1"/>
      <name val="Calibri"/>
      <charset val="1"/>
    </font>
    <font>
      <sz val="10"/>
      <color theme="1"/>
      <name val="Arial"/>
      <charset val="1"/>
    </font>
    <font>
      <b/>
      <sz val="10"/>
      <color theme="1"/>
      <name val="Trebuchet MS"/>
      <charset val="1"/>
    </font>
    <font>
      <b/>
      <sz val="10"/>
      <color rgb="FF000000"/>
      <name val="Calibri"/>
      <scheme val="minor"/>
    </font>
    <font>
      <sz val="10"/>
      <color rgb="FF000000"/>
      <name val="Calibri"/>
      <scheme val="minor"/>
    </font>
    <font>
      <sz val="11"/>
      <color rgb="FF000000"/>
      <name val="Calibri"/>
      <charset val="1"/>
    </font>
    <font>
      <b/>
      <sz val="11"/>
      <color rgb="FFFF0000"/>
      <name val="Calibri"/>
      <family val="2"/>
      <scheme val="minor"/>
    </font>
    <font>
      <sz val="11"/>
      <color theme="10"/>
      <name val="Calibri"/>
      <family val="2"/>
      <scheme val="minor"/>
    </font>
    <font>
      <sz val="10"/>
      <color rgb="FF000000"/>
      <name val="Calibri"/>
      <family val="2"/>
      <scheme val="minor"/>
    </font>
    <font>
      <b/>
      <sz val="12"/>
      <color theme="1"/>
      <name val="Calibri"/>
      <scheme val="minor"/>
    </font>
    <font>
      <sz val="10"/>
      <color theme="1"/>
      <name val="Calibri Light"/>
      <scheme val="major"/>
    </font>
    <font>
      <b/>
      <sz val="11"/>
      <color theme="1"/>
      <name val="Calibri Light"/>
      <scheme val="major"/>
    </font>
    <font>
      <b/>
      <sz val="10"/>
      <color theme="1"/>
      <name val="Calibri Light"/>
      <scheme val="major"/>
    </font>
    <font>
      <sz val="11"/>
      <color theme="1"/>
      <name val="Calibri Light"/>
      <scheme val="major"/>
    </font>
    <font>
      <u/>
      <sz val="11"/>
      <color theme="10"/>
      <name val="Calibri Light"/>
      <scheme val="major"/>
    </font>
    <font>
      <b/>
      <sz val="10"/>
      <color rgb="FF000000"/>
      <name val="Calibri Light"/>
      <scheme val="major"/>
    </font>
    <font>
      <sz val="11"/>
      <color rgb="FF242424"/>
      <name val="Calibri Light"/>
      <scheme val="major"/>
    </font>
    <font>
      <sz val="11"/>
      <color rgb="FF0D0D0D"/>
      <name val="Calibri Light"/>
      <scheme val="major"/>
    </font>
    <font>
      <sz val="11"/>
      <color rgb="FF000000"/>
      <name val="Calibri Light"/>
      <scheme val="major"/>
    </font>
    <font>
      <b/>
      <sz val="11"/>
      <color theme="1"/>
      <name val="Calibri"/>
      <family val="2"/>
      <scheme val="minor"/>
    </font>
    <font>
      <b/>
      <sz val="10"/>
      <color theme="1"/>
      <name val="Trebuchet MS"/>
    </font>
    <font>
      <b/>
      <sz val="11"/>
      <color rgb="FF000000"/>
      <name val="Calibri Light"/>
      <charset val="1"/>
    </font>
    <font>
      <sz val="11"/>
      <color rgb="FF242424"/>
      <name val="Aptos Narrow"/>
      <charset val="1"/>
    </font>
    <font>
      <sz val="11"/>
      <color theme="1"/>
      <name val="Arial"/>
      <charset val="1"/>
    </font>
    <font>
      <sz val="11"/>
      <color rgb="FF131313"/>
      <name val="Roboto"/>
      <charset val="1"/>
    </font>
    <font>
      <sz val="11"/>
      <color rgb="FF000000"/>
      <name val="Calibri"/>
      <scheme val="minor"/>
    </font>
    <font>
      <i/>
      <sz val="11"/>
      <color rgb="FF000000"/>
      <name val="Calibri"/>
      <scheme val="minor"/>
    </font>
    <font>
      <sz val="12"/>
      <color rgb="FF000000"/>
      <name val="Calibri"/>
      <charset val="1"/>
    </font>
    <font>
      <sz val="11"/>
      <color theme="1"/>
      <name val="Calibri"/>
      <family val="2"/>
      <charset val="1"/>
    </font>
    <font>
      <b/>
      <sz val="12"/>
      <color rgb="FF000000"/>
      <name val="Trebuchet MS"/>
      <family val="2"/>
    </font>
    <font>
      <sz val="12"/>
      <color theme="1"/>
      <name val="Calibri"/>
      <charset val="1"/>
    </font>
    <font>
      <i/>
      <sz val="12"/>
      <color rgb="FF000000"/>
      <name val="Calibri"/>
      <charset val="1"/>
    </font>
    <font>
      <sz val="12"/>
      <color rgb="FF000000"/>
      <name val="WordVisiCarriageReturn_MSFontSe"/>
      <charset val="1"/>
    </font>
    <font>
      <sz val="11"/>
      <color rgb="FFFF0000"/>
      <name val="Calibri"/>
      <charset val="1"/>
    </font>
    <font>
      <b/>
      <sz val="8"/>
      <color rgb="FF000000"/>
      <name val="Trebuchet MS"/>
      <family val="2"/>
    </font>
    <font>
      <u/>
      <sz val="11"/>
      <color rgb="FF000000"/>
      <name val="Calibri"/>
      <family val="2"/>
      <scheme val="minor"/>
    </font>
    <font>
      <b/>
      <sz val="11"/>
      <color theme="1"/>
      <name val="Calibri"/>
      <charset val="1"/>
    </font>
    <font>
      <sz val="11"/>
      <color rgb="FFFFFFFF"/>
      <name val="Roboto"/>
      <charset val="1"/>
    </font>
    <font>
      <sz val="10"/>
      <color rgb="FF000000"/>
      <name val="Arial"/>
      <charset val="1"/>
    </font>
    <font>
      <sz val="12"/>
      <color rgb="FF1F1F1F"/>
      <name val="Calibri"/>
      <charset val="1"/>
    </font>
    <font>
      <b/>
      <sz val="12"/>
      <color rgb="FF1F1F1F"/>
      <name val="Calibri"/>
      <charset val="1"/>
    </font>
  </fonts>
  <fills count="34">
    <fill>
      <patternFill patternType="none"/>
    </fill>
    <fill>
      <patternFill patternType="gray125"/>
    </fill>
    <fill>
      <patternFill patternType="solid">
        <fgColor rgb="FFCCCCCC"/>
        <bgColor rgb="FFCCCCCC"/>
      </patternFill>
    </fill>
    <fill>
      <patternFill patternType="solid">
        <fgColor theme="0" tint="-0.14999847407452621"/>
        <bgColor indexed="64"/>
      </patternFill>
    </fill>
    <fill>
      <patternFill patternType="solid">
        <fgColor rgb="FFD9D9D9"/>
        <bgColor rgb="FF000000"/>
      </patternFill>
    </fill>
    <fill>
      <patternFill patternType="solid">
        <fgColor rgb="FFFFFFFF"/>
        <bgColor rgb="FF000000"/>
      </patternFill>
    </fill>
    <fill>
      <patternFill patternType="solid">
        <fgColor rgb="FFD9D9D9"/>
        <bgColor indexed="64"/>
      </patternFill>
    </fill>
    <fill>
      <patternFill patternType="solid">
        <fgColor rgb="FFC6E0B4"/>
        <bgColor indexed="64"/>
      </patternFill>
    </fill>
    <fill>
      <patternFill patternType="solid">
        <fgColor theme="2" tint="-9.9978637043366805E-2"/>
        <bgColor indexed="64"/>
      </patternFill>
    </fill>
    <fill>
      <patternFill patternType="solid">
        <fgColor rgb="FFAEAAAA"/>
        <bgColor indexed="64"/>
      </patternFill>
    </fill>
    <fill>
      <patternFill patternType="solid">
        <fgColor rgb="FFFFFFFF"/>
        <bgColor indexed="64"/>
      </patternFill>
    </fill>
    <fill>
      <patternFill patternType="solid">
        <fgColor rgb="FFE7E6E6"/>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rgb="FFD0CECE"/>
        <bgColor indexed="64"/>
      </patternFill>
    </fill>
    <fill>
      <patternFill patternType="solid">
        <fgColor rgb="FFE2EFDA"/>
        <bgColor indexed="64"/>
      </patternFill>
    </fill>
    <fill>
      <patternFill patternType="solid">
        <fgColor rgb="FFA9D08E"/>
        <bgColor indexed="64"/>
      </patternFill>
    </fill>
    <fill>
      <patternFill patternType="solid">
        <fgColor rgb="FFD8D8D8"/>
        <bgColor indexed="64"/>
      </patternFill>
    </fill>
    <fill>
      <patternFill patternType="solid">
        <fgColor rgb="FFFCE4D6"/>
        <bgColor indexed="64"/>
      </patternFill>
    </fill>
    <fill>
      <patternFill patternType="solid">
        <fgColor rgb="FFF8CBAD"/>
        <bgColor indexed="64"/>
      </patternFill>
    </fill>
    <fill>
      <patternFill patternType="solid">
        <fgColor rgb="FF70AD47"/>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bgColor indexed="64"/>
      </patternFill>
    </fill>
    <fill>
      <patternFill patternType="solid">
        <fgColor rgb="FFEFEFE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D3BAE6"/>
        <bgColor indexed="64"/>
      </patternFill>
    </fill>
    <fill>
      <patternFill patternType="solid">
        <fgColor rgb="FFFFD966"/>
        <bgColor indexed="64"/>
      </patternFill>
    </fill>
    <fill>
      <patternFill patternType="solid">
        <fgColor theme="2" tint="-0.249977111117893"/>
        <bgColor indexed="64"/>
      </patternFill>
    </fill>
    <fill>
      <patternFill patternType="solid">
        <fgColor rgb="FFF7DB86"/>
        <bgColor indexed="64"/>
      </patternFill>
    </fill>
    <fill>
      <patternFill patternType="solid">
        <fgColor rgb="FFD9C3E0"/>
        <bgColor indexed="64"/>
      </patternFill>
    </fill>
  </fills>
  <borders count="155">
    <border>
      <left/>
      <right/>
      <top/>
      <bottom/>
      <diagonal/>
    </border>
    <border>
      <left style="thin">
        <color rgb="FFD0CECE"/>
      </left>
      <right style="thin">
        <color rgb="FFD0CECE"/>
      </right>
      <top style="thin">
        <color rgb="FFD0CECE"/>
      </top>
      <bottom style="thin">
        <color rgb="FFD0CECE"/>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2" tint="-9.9978637043366805E-2"/>
      </left>
      <right style="thin">
        <color theme="2" tint="-9.9978637043366805E-2"/>
      </right>
      <top/>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top style="thin">
        <color theme="2" tint="-9.9978637043366805E-2"/>
      </top>
      <bottom/>
      <diagonal/>
    </border>
    <border>
      <left style="thin">
        <color theme="2" tint="-9.9978637043366805E-2"/>
      </left>
      <right/>
      <top style="thin">
        <color theme="2" tint="-9.9978637043366805E-2"/>
      </top>
      <bottom style="thin">
        <color theme="2" tint="-9.9978637043366805E-2"/>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rgb="FF000000"/>
      </left>
      <right style="thin">
        <color rgb="FF000000"/>
      </right>
      <top style="thin">
        <color rgb="FF000000"/>
      </top>
      <bottom style="thin">
        <color rgb="FF000000"/>
      </bottom>
      <diagonal/>
    </border>
    <border>
      <left style="thin">
        <color theme="2" tint="-9.9978637043366805E-2"/>
      </left>
      <right/>
      <top style="thin">
        <color theme="2" tint="-9.9978637043366805E-2"/>
      </top>
      <bottom/>
      <diagonal/>
    </border>
    <border>
      <left style="thin">
        <color theme="2" tint="-9.9978637043366805E-2"/>
      </left>
      <right/>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right style="thin">
        <color theme="2" tint="-9.9978637043366805E-2"/>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top style="thin">
        <color theme="0" tint="-0.249977111117893"/>
      </top>
      <bottom style="thin">
        <color theme="0" tint="-0.249977111117893"/>
      </bottom>
      <diagonal/>
    </border>
    <border>
      <left style="thin">
        <color theme="0" tint="-0.249977111117893"/>
      </left>
      <right/>
      <top/>
      <bottom/>
      <diagonal/>
    </border>
    <border>
      <left style="thin">
        <color theme="2" tint="-9.9978637043366805E-2"/>
      </left>
      <right style="thin">
        <color theme="2" tint="-9.9978637043366805E-2"/>
      </right>
      <top style="thin">
        <color rgb="FFD0CECE"/>
      </top>
      <bottom/>
      <diagonal/>
    </border>
    <border>
      <left/>
      <right style="thin">
        <color theme="2" tint="-9.9978637043366805E-2"/>
      </right>
      <top style="thin">
        <color theme="2" tint="-9.9978637043366805E-2"/>
      </top>
      <bottom/>
      <diagonal/>
    </border>
    <border>
      <left/>
      <right style="thin">
        <color theme="2" tint="-9.9978637043366805E-2"/>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000000"/>
      </left>
      <right/>
      <top style="thin">
        <color rgb="FF000000"/>
      </top>
      <bottom style="thin">
        <color rgb="FF000000"/>
      </bottom>
      <diagonal/>
    </border>
    <border>
      <left/>
      <right/>
      <top style="thin">
        <color rgb="FFD0CECE"/>
      </top>
      <bottom/>
      <diagonal/>
    </border>
    <border>
      <left/>
      <right style="thin">
        <color theme="2" tint="-9.9978637043366805E-2"/>
      </right>
      <top style="thin">
        <color rgb="FFD0CECE"/>
      </top>
      <bottom/>
      <diagonal/>
    </border>
    <border>
      <left style="thin">
        <color rgb="FF000000"/>
      </left>
      <right style="thin">
        <color rgb="FFCCCCCC"/>
      </right>
      <top/>
      <bottom/>
      <diagonal/>
    </border>
    <border>
      <left style="thin">
        <color rgb="FFCCCCCC"/>
      </left>
      <right style="thin">
        <color rgb="FFD0CECE"/>
      </right>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CCCCCC"/>
      </left>
      <right style="thin">
        <color rgb="FFBFBFBF"/>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BFBFBF"/>
      </right>
      <top style="thin">
        <color rgb="FFCCCCCC"/>
      </top>
      <bottom style="medium">
        <color theme="2" tint="-9.9978637043366805E-2"/>
      </bottom>
      <diagonal/>
    </border>
    <border>
      <left style="thin">
        <color rgb="FFCCCCCC"/>
      </left>
      <right style="thin">
        <color rgb="FFCCCCCC"/>
      </right>
      <top/>
      <bottom style="medium">
        <color theme="2" tint="-9.9978637043366805E-2"/>
      </bottom>
      <diagonal/>
    </border>
    <border>
      <left style="thin">
        <color rgb="FF000000"/>
      </left>
      <right style="thin">
        <color rgb="FFCCCCCC"/>
      </right>
      <top/>
      <bottom style="medium">
        <color theme="2" tint="-9.9978637043366805E-2"/>
      </bottom>
      <diagonal/>
    </border>
    <border>
      <left style="thin">
        <color rgb="FF000000"/>
      </left>
      <right style="thin">
        <color rgb="FFCCCCCC"/>
      </right>
      <top style="thin">
        <color theme="2" tint="-9.9978637043366805E-2"/>
      </top>
      <bottom/>
      <diagonal/>
    </border>
    <border>
      <left style="thin">
        <color rgb="FFCCCCCC"/>
      </left>
      <right style="thin">
        <color rgb="FFCCCCCC"/>
      </right>
      <top style="thin">
        <color theme="2" tint="-9.9978637043366805E-2"/>
      </top>
      <bottom/>
      <diagonal/>
    </border>
    <border>
      <left style="thin">
        <color rgb="FFCCCCCC"/>
      </left>
      <right style="thin">
        <color rgb="FFBFBFBF"/>
      </right>
      <top style="thin">
        <color theme="2" tint="-9.9978637043366805E-2"/>
      </top>
      <bottom style="thin">
        <color rgb="FFCCCCCC"/>
      </bottom>
      <diagonal/>
    </border>
    <border>
      <left style="thin">
        <color rgb="FFCCCCCC"/>
      </left>
      <right/>
      <top style="thin">
        <color theme="2" tint="-9.9978637043366805E-2"/>
      </top>
      <bottom style="thin">
        <color rgb="FFBFBFBF"/>
      </bottom>
      <diagonal/>
    </border>
    <border>
      <left style="thin">
        <color rgb="FFCCCCCC"/>
      </left>
      <right/>
      <top style="thin">
        <color rgb="FFCCCCCC"/>
      </top>
      <bottom style="thin">
        <color rgb="FFBFBFBF"/>
      </bottom>
      <diagonal/>
    </border>
    <border>
      <left style="thin">
        <color rgb="FFCCCCCC"/>
      </left>
      <right/>
      <top style="thin">
        <color rgb="FFCCCCCC"/>
      </top>
      <bottom style="medium">
        <color theme="2" tint="-9.9978637043366805E-2"/>
      </bottom>
      <diagonal/>
    </border>
    <border>
      <left style="thin">
        <color theme="2" tint="-9.9978637043366805E-2"/>
      </left>
      <right/>
      <top style="thin">
        <color theme="2" tint="-9.9978637043366805E-2"/>
      </top>
      <bottom style="thin">
        <color rgb="FFBFBFBF"/>
      </bottom>
      <diagonal/>
    </border>
    <border>
      <left style="thin">
        <color theme="2" tint="-9.9978637043366805E-2"/>
      </left>
      <right/>
      <top style="thin">
        <color rgb="FFCCCCCC"/>
      </top>
      <bottom style="thin">
        <color rgb="FFBFBFBF"/>
      </bottom>
      <diagonal/>
    </border>
    <border>
      <left style="thin">
        <color theme="2" tint="-9.9978637043366805E-2"/>
      </left>
      <right/>
      <top style="thin">
        <color rgb="FFCCCCCC"/>
      </top>
      <bottom style="medium">
        <color theme="2" tint="-9.9978637043366805E-2"/>
      </bottom>
      <diagonal/>
    </border>
    <border>
      <left style="thin">
        <color theme="2" tint="-9.9978637043366805E-2"/>
      </left>
      <right style="thin">
        <color theme="2" tint="-9.9978637043366805E-2"/>
      </right>
      <top style="thin">
        <color rgb="FFCCCCCC"/>
      </top>
      <bottom style="thin">
        <color rgb="FFCCCCCC"/>
      </bottom>
      <diagonal/>
    </border>
    <border>
      <left style="thin">
        <color theme="2" tint="-9.9978637043366805E-2"/>
      </left>
      <right style="thin">
        <color theme="2" tint="-9.9978637043366805E-2"/>
      </right>
      <top style="thin">
        <color rgb="FFCCCCCC"/>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rgb="FFCCCCCC"/>
      </bottom>
      <diagonal/>
    </border>
    <border>
      <left style="thin">
        <color theme="2" tint="-9.9978637043366805E-2"/>
      </left>
      <right/>
      <top style="thin">
        <color theme="2" tint="-9.9978637043366805E-2"/>
      </top>
      <bottom style="thin">
        <color rgb="FFD9D9D9"/>
      </bottom>
      <diagonal/>
    </border>
    <border>
      <left style="thin">
        <color theme="2" tint="-9.9978637043366805E-2"/>
      </left>
      <right/>
      <top style="thin">
        <color rgb="FFCCCCCC"/>
      </top>
      <bottom style="thin">
        <color rgb="FFCCCCCC"/>
      </bottom>
      <diagonal/>
    </border>
    <border>
      <left style="thin">
        <color theme="2" tint="-9.9978637043366805E-2"/>
      </left>
      <right/>
      <top style="thin">
        <color rgb="FFCCCCCC"/>
      </top>
      <bottom style="thin">
        <color theme="2" tint="-9.9978637043366805E-2"/>
      </bottom>
      <diagonal/>
    </border>
    <border>
      <left style="thin">
        <color rgb="FFBFBFBF"/>
      </left>
      <right style="thin">
        <color rgb="FFBFBFBF"/>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2" tint="-9.9978637043366805E-2"/>
      </left>
      <right style="thin">
        <color theme="2" tint="-9.9978637043366805E-2"/>
      </right>
      <top style="thin">
        <color rgb="FFCCCCCC"/>
      </top>
      <bottom style="medium">
        <color theme="2" tint="-9.9978637043366805E-2"/>
      </bottom>
      <diagonal/>
    </border>
    <border>
      <left style="thin">
        <color theme="2" tint="-9.9978637043366805E-2"/>
      </left>
      <right/>
      <top style="thin">
        <color theme="2" tint="-9.9978637043366805E-2"/>
      </top>
      <bottom style="thin">
        <color rgb="FFCCCCCC"/>
      </bottom>
      <diagonal/>
    </border>
    <border>
      <left style="thin">
        <color rgb="FFE7E6E6"/>
      </left>
      <right style="thin">
        <color rgb="FFE7E6E6"/>
      </right>
      <top/>
      <bottom style="thin">
        <color rgb="FFE7E6E6"/>
      </bottom>
      <diagonal/>
    </border>
    <border>
      <left style="thin">
        <color theme="2"/>
      </left>
      <right style="thin">
        <color theme="2"/>
      </right>
      <top style="thin">
        <color theme="2"/>
      </top>
      <bottom style="thin">
        <color theme="2"/>
      </bottom>
      <diagonal/>
    </border>
    <border>
      <left/>
      <right style="thin">
        <color theme="2" tint="-9.9978637043366805E-2"/>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rgb="FFD0CECE"/>
      </bottom>
      <diagonal/>
    </border>
    <border>
      <left style="thin">
        <color theme="2" tint="-9.9978637043366805E-2"/>
      </left>
      <right style="thin">
        <color theme="2" tint="-9.9978637043366805E-2"/>
      </right>
      <top style="thin">
        <color rgb="FFCCCCCC"/>
      </top>
      <bottom style="thin">
        <color rgb="FFD0CECE"/>
      </bottom>
      <diagonal/>
    </border>
    <border>
      <left style="thin">
        <color rgb="FFD0CECE"/>
      </left>
      <right style="thin">
        <color rgb="FFD0CECE"/>
      </right>
      <top style="thin">
        <color rgb="FFD0CECE"/>
      </top>
      <bottom/>
      <diagonal/>
    </border>
    <border>
      <left style="thin">
        <color theme="2" tint="-9.9978637043366805E-2"/>
      </left>
      <right style="thin">
        <color rgb="FFCCCCCC"/>
      </right>
      <top style="thin">
        <color theme="2" tint="-9.9978637043366805E-2"/>
      </top>
      <bottom/>
      <diagonal/>
    </border>
    <border>
      <left style="thin">
        <color theme="2" tint="-9.9978637043366805E-2"/>
      </left>
      <right style="thin">
        <color rgb="FFCCCCCC"/>
      </right>
      <top/>
      <bottom style="thin">
        <color theme="2" tint="-9.9978637043366805E-2"/>
      </bottom>
      <diagonal/>
    </border>
    <border>
      <left style="thin">
        <color theme="2" tint="-9.9978637043366805E-2"/>
      </left>
      <right style="thin">
        <color rgb="FFCCCCCC"/>
      </right>
      <top/>
      <bottom/>
      <diagonal/>
    </border>
    <border>
      <left style="thin">
        <color rgb="FF000000"/>
      </left>
      <right style="thin">
        <color rgb="FF000000"/>
      </right>
      <top/>
      <bottom style="thin">
        <color rgb="FF000000"/>
      </bottom>
      <diagonal/>
    </border>
    <border>
      <left style="thin">
        <color theme="0" tint="-0.249977111117893"/>
      </left>
      <right/>
      <top style="thin">
        <color theme="0" tint="-0.249977111117893"/>
      </top>
      <bottom style="thin">
        <color theme="0" tint="-0.249977111117893"/>
      </bottom>
      <diagonal/>
    </border>
    <border>
      <left style="thin">
        <color rgb="FF000000"/>
      </left>
      <right style="thin">
        <color rgb="FF000000"/>
      </right>
      <top style="thin">
        <color rgb="FF000000"/>
      </top>
      <bottom style="thin">
        <color rgb="FFBFBFBF"/>
      </bottom>
      <diagonal/>
    </border>
    <border>
      <left style="thin">
        <color rgb="FF000000"/>
      </left>
      <right style="thin">
        <color rgb="FF000000"/>
      </right>
      <top style="thin">
        <color rgb="FFCCCCCC"/>
      </top>
      <bottom style="thin">
        <color rgb="FFBFBFBF"/>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thin">
        <color theme="2"/>
      </right>
      <top style="thin">
        <color theme="2"/>
      </top>
      <bottom/>
      <diagonal/>
    </border>
    <border>
      <left/>
      <right style="thin">
        <color theme="2"/>
      </right>
      <top/>
      <bottom/>
      <diagonal/>
    </border>
    <border>
      <left/>
      <right style="thin">
        <color theme="2"/>
      </right>
      <top/>
      <bottom style="thin">
        <color theme="2"/>
      </bottom>
      <diagonal/>
    </border>
    <border>
      <left style="thin">
        <color theme="2"/>
      </left>
      <right/>
      <top/>
      <bottom/>
      <diagonal/>
    </border>
    <border>
      <left style="thin">
        <color theme="2"/>
      </left>
      <right/>
      <top/>
      <bottom style="thin">
        <color theme="2"/>
      </bottom>
      <diagonal/>
    </border>
    <border>
      <left style="thin">
        <color rgb="FF000000"/>
      </left>
      <right style="thin">
        <color rgb="FF000000"/>
      </right>
      <top style="thin">
        <color theme="6"/>
      </top>
      <bottom style="thin">
        <color rgb="FF000000"/>
      </bottom>
      <diagonal/>
    </border>
    <border>
      <left style="thin">
        <color theme="6"/>
      </left>
      <right style="thin">
        <color rgb="FF000000"/>
      </right>
      <top style="thin">
        <color rgb="FF000000"/>
      </top>
      <bottom style="thin">
        <color rgb="FF000000"/>
      </bottom>
      <diagonal/>
    </border>
    <border>
      <left style="thin">
        <color rgb="FF000000"/>
      </left>
      <right style="thin">
        <color rgb="FFD0CECE"/>
      </right>
      <top style="thin">
        <color rgb="FF000000"/>
      </top>
      <bottom/>
      <diagonal/>
    </border>
    <border>
      <left style="thin">
        <color rgb="FF000000"/>
      </left>
      <right style="thin">
        <color rgb="FFD0CECE"/>
      </right>
      <top/>
      <bottom/>
      <diagonal/>
    </border>
    <border>
      <left style="thin">
        <color rgb="FF000000"/>
      </left>
      <right style="thin">
        <color rgb="FFD0CECE"/>
      </right>
      <top/>
      <bottom style="thin">
        <color rgb="FF000000"/>
      </bottom>
      <diagonal/>
    </border>
    <border>
      <left style="thin">
        <color rgb="FFCCCCCC"/>
      </left>
      <right style="thin">
        <color rgb="FFD0CECE"/>
      </right>
      <top style="thin">
        <color rgb="FF000000"/>
      </top>
      <bottom/>
      <diagonal/>
    </border>
    <border>
      <left style="thin">
        <color rgb="FFCCCCCC"/>
      </left>
      <right style="thin">
        <color rgb="FFD0CECE"/>
      </right>
      <top/>
      <bottom style="thin">
        <color rgb="FF000000"/>
      </bottom>
      <diagonal/>
    </border>
    <border>
      <left style="thin">
        <color rgb="FFCCCCCC"/>
      </left>
      <right style="thin">
        <color rgb="FFD0CECE"/>
      </right>
      <top/>
      <bottom style="thin">
        <color rgb="FFD0CECE"/>
      </bottom>
      <diagonal/>
    </border>
    <border>
      <left style="thin">
        <color rgb="FFCCCCCC"/>
      </left>
      <right style="thin">
        <color rgb="FF000000"/>
      </right>
      <top style="thin">
        <color rgb="FF000000"/>
      </top>
      <bottom style="thin">
        <color rgb="FFD9D9D9"/>
      </bottom>
      <diagonal/>
    </border>
    <border>
      <left style="thin">
        <color rgb="FFCCCCCC"/>
      </left>
      <right style="thin">
        <color rgb="FF000000"/>
      </right>
      <top style="thin">
        <color rgb="FFCCCCCC"/>
      </top>
      <bottom style="thin">
        <color rgb="FFD9D9D9"/>
      </bottom>
      <diagonal/>
    </border>
    <border>
      <left style="thin">
        <color rgb="FFCCCCCC"/>
      </left>
      <right style="thin">
        <color rgb="FFD0CECE"/>
      </right>
      <top style="thin">
        <color rgb="FFCCCCCC"/>
      </top>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000000"/>
      </top>
      <bottom/>
      <diagonal/>
    </border>
    <border>
      <left style="thin">
        <color rgb="FFCCCCCC"/>
      </left>
      <right style="thin">
        <color rgb="FFCCCCCC"/>
      </right>
      <top/>
      <bottom style="thin">
        <color rgb="FF000000"/>
      </bottom>
      <diagonal/>
    </border>
    <border>
      <left style="thin">
        <color rgb="FFCCCCCC"/>
      </left>
      <right style="thin">
        <color rgb="FFD0CECE"/>
      </right>
      <top/>
      <bottom style="thin">
        <color rgb="FFAEABAB"/>
      </bottom>
      <diagonal/>
    </border>
    <border>
      <left style="thin">
        <color rgb="FFCCCCCC"/>
      </left>
      <right style="thin">
        <color rgb="FFD9D9D9"/>
      </right>
      <top style="thin">
        <color rgb="FF000000"/>
      </top>
      <bottom style="thin">
        <color rgb="FFD0CECE"/>
      </bottom>
      <diagonal/>
    </border>
    <border>
      <left style="thin">
        <color rgb="FFCCCCCC"/>
      </left>
      <right style="thin">
        <color rgb="FFD9D9D9"/>
      </right>
      <top style="thin">
        <color rgb="FFCCCCCC"/>
      </top>
      <bottom style="thin">
        <color rgb="FFD0CECE"/>
      </bottom>
      <diagonal/>
    </border>
    <border>
      <left style="thin">
        <color rgb="FFCCCCCC"/>
      </left>
      <right style="thin">
        <color rgb="FFD9D9D9"/>
      </right>
      <top style="thin">
        <color rgb="FFCCCCCC"/>
      </top>
      <bottom style="thin">
        <color rgb="FF000000"/>
      </bottom>
      <diagonal/>
    </border>
    <border>
      <left style="thin">
        <color rgb="FF000000"/>
      </left>
      <right style="thin">
        <color rgb="FFCCCCCC"/>
      </right>
      <top style="thin">
        <color rgb="FF000000"/>
      </top>
      <bottom/>
      <diagonal/>
    </border>
    <border>
      <left style="thin">
        <color rgb="FF000000"/>
      </left>
      <right style="thin">
        <color rgb="FFCCCCCC"/>
      </right>
      <top/>
      <bottom style="thin">
        <color rgb="FF000000"/>
      </bottom>
      <diagonal/>
    </border>
    <border>
      <left style="thin">
        <color rgb="FFCCCCCC"/>
      </left>
      <right style="thin">
        <color rgb="FFBFBFBF"/>
      </right>
      <top style="thin">
        <color rgb="FF000000"/>
      </top>
      <bottom style="thin">
        <color rgb="FFCCCCCC"/>
      </bottom>
      <diagonal/>
    </border>
    <border>
      <left style="thin">
        <color rgb="FFCCCCCC"/>
      </left>
      <right style="thin">
        <color rgb="FF000000"/>
      </right>
      <top style="thin">
        <color rgb="FF000000"/>
      </top>
      <bottom style="thin">
        <color rgb="FFBFBFBF"/>
      </bottom>
      <diagonal/>
    </border>
    <border>
      <left style="thin">
        <color rgb="FFCCCCCC"/>
      </left>
      <right style="thin">
        <color rgb="FF000000"/>
      </right>
      <top style="thin">
        <color rgb="FFCCCCCC"/>
      </top>
      <bottom style="thin">
        <color rgb="FFBFBFBF"/>
      </bottom>
      <diagonal/>
    </border>
    <border>
      <left style="thin">
        <color rgb="FFCCCCCC"/>
      </left>
      <right style="thin">
        <color rgb="FF000000"/>
      </right>
      <top style="thin">
        <color rgb="FFCCCCCC"/>
      </top>
      <bottom style="thin">
        <color rgb="FFD0CECE"/>
      </bottom>
      <diagonal/>
    </border>
    <border>
      <left style="thin">
        <color rgb="FFCCCCCC"/>
      </left>
      <right style="thin">
        <color rgb="FFD0CECE"/>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000000"/>
      </left>
      <right/>
      <top/>
      <bottom/>
      <diagonal/>
    </border>
    <border>
      <left style="thin">
        <color rgb="FFCCCCCC"/>
      </left>
      <right style="thin">
        <color rgb="FFCCCCCC"/>
      </right>
      <top style="thin">
        <color rgb="FF000000"/>
      </top>
      <bottom style="thin">
        <color rgb="FFBFBFBF"/>
      </bottom>
      <diagonal/>
    </border>
    <border>
      <left style="thin">
        <color rgb="FFCCCCCC"/>
      </left>
      <right style="thin">
        <color rgb="FFD0CECE"/>
      </right>
      <top style="thin">
        <color rgb="FF000000"/>
      </top>
      <bottom style="thin">
        <color rgb="FFB7B7B7"/>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000000"/>
      </top>
      <bottom style="thin">
        <color rgb="FFD0CECE"/>
      </bottom>
      <diagonal/>
    </border>
    <border>
      <left style="thin">
        <color rgb="FFCCCCCC"/>
      </left>
      <right style="thin">
        <color rgb="FFCCCCCC"/>
      </right>
      <top style="thin">
        <color rgb="FFCCCCCC"/>
      </top>
      <bottom style="thin">
        <color rgb="FFBFBFBF"/>
      </bottom>
      <diagonal/>
    </border>
    <border>
      <left style="thin">
        <color rgb="FFCCCCCC"/>
      </left>
      <right style="thin">
        <color rgb="FFD0CECE"/>
      </right>
      <top style="thin">
        <color rgb="FFCCCCCC"/>
      </top>
      <bottom style="thin">
        <color rgb="FFB7B7B7"/>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D0CECE"/>
      </bottom>
      <diagonal/>
    </border>
    <border>
      <left style="thin">
        <color rgb="FFCCCCCC"/>
      </left>
      <right style="thin">
        <color rgb="FFD0CECE"/>
      </right>
      <top style="thin">
        <color rgb="FFCCCCCC"/>
      </top>
      <bottom style="thin">
        <color rgb="FFD0CECE"/>
      </bottom>
      <diagonal/>
    </border>
    <border>
      <left style="thin">
        <color rgb="FFCCCCCC"/>
      </left>
      <right style="thin">
        <color rgb="FFBFBFBF"/>
      </right>
      <top style="thin">
        <color rgb="FFCCCCCC"/>
      </top>
      <bottom style="thin">
        <color rgb="FF000000"/>
      </bottom>
      <diagonal/>
    </border>
    <border>
      <left style="thin">
        <color rgb="FFCCCCCC"/>
      </left>
      <right style="thin">
        <color rgb="FFD0CECE"/>
      </right>
      <top style="thin">
        <color rgb="FFCCCCCC"/>
      </top>
      <bottom style="thin">
        <color rgb="FF000000"/>
      </bottom>
      <diagonal/>
    </border>
    <border>
      <left/>
      <right/>
      <top/>
      <bottom style="thin">
        <color theme="0" tint="-0.249977111117893"/>
      </bottom>
      <diagonal/>
    </border>
    <border>
      <left style="thin">
        <color rgb="FF000000"/>
      </left>
      <right style="thin">
        <color rgb="FFCCCCCC"/>
      </right>
      <top style="thin">
        <color rgb="FF000000"/>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style="thin">
        <color rgb="FFD0CECE"/>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theme="2" tint="-9.9978637043366805E-2"/>
      </right>
      <top style="thin">
        <color rgb="FF000000"/>
      </top>
      <bottom/>
      <diagonal/>
    </border>
    <border>
      <left style="thin">
        <color rgb="FFCCCCCC"/>
      </left>
      <right style="thin">
        <color theme="2" tint="-9.9978637043366805E-2"/>
      </right>
      <top/>
      <bottom/>
      <diagonal/>
    </border>
    <border>
      <left style="thin">
        <color rgb="FFCCCCCC"/>
      </left>
      <right style="thin">
        <color theme="2" tint="-9.9978637043366805E-2"/>
      </right>
      <top/>
      <bottom style="thin">
        <color rgb="FFCCCCCC"/>
      </bottom>
      <diagonal/>
    </border>
    <border>
      <left style="thin">
        <color rgb="FFCCCCCC"/>
      </left>
      <right style="thin">
        <color theme="2" tint="-9.9978637043366805E-2"/>
      </right>
      <top style="thin">
        <color rgb="FFCCCCCC"/>
      </top>
      <bottom/>
      <diagonal/>
    </border>
    <border>
      <left style="thin">
        <color rgb="FFCCCCCC"/>
      </left>
      <right style="thin">
        <color theme="2" tint="-9.9978637043366805E-2"/>
      </right>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CCCCCC"/>
      </left>
      <right style="thin">
        <color rgb="FFCCCCCC"/>
      </right>
      <top style="thin">
        <color rgb="FF000000"/>
      </top>
      <bottom style="thin">
        <color rgb="FF000000"/>
      </bottom>
      <diagonal/>
    </border>
    <border>
      <left style="thin">
        <color rgb="FF000000"/>
      </left>
      <right style="thin">
        <color rgb="FF000000"/>
      </right>
      <top/>
      <bottom style="thin">
        <color rgb="FFCCCCCC"/>
      </bottom>
      <diagonal/>
    </border>
    <border>
      <left style="thin">
        <color rgb="FF000000"/>
      </left>
      <right style="thin">
        <color rgb="FF000000"/>
      </right>
      <top style="thin">
        <color rgb="FFCCCCCC"/>
      </top>
      <bottom/>
      <diagonal/>
    </border>
    <border>
      <left style="thin">
        <color rgb="FFCCCCCC"/>
      </left>
      <right style="thin">
        <color rgb="FFCCCCCC"/>
      </right>
      <top style="thin">
        <color rgb="FF000000"/>
      </top>
      <bottom style="thin">
        <color rgb="FFCCCCCC"/>
      </bottom>
      <diagonal/>
    </border>
    <border>
      <left style="thin">
        <color rgb="FFCCCCCC"/>
      </left>
      <right style="thin">
        <color rgb="FFD0CECE"/>
      </right>
      <top/>
      <bottom style="thin">
        <color rgb="FFCCCCCC"/>
      </bottom>
      <diagonal/>
    </border>
    <border>
      <left style="thin">
        <color rgb="FFCCCCCC"/>
      </left>
      <right style="thin">
        <color rgb="FFBFBFBF"/>
      </right>
      <top style="thin">
        <color rgb="FF000000"/>
      </top>
      <bottom style="thin">
        <color rgb="FFBFBFBF"/>
      </bottom>
      <diagonal/>
    </border>
    <border>
      <left style="thin">
        <color rgb="FFCCCCCC"/>
      </left>
      <right style="thin">
        <color rgb="FFBFBFBF"/>
      </right>
      <top style="thin">
        <color rgb="FFCCCCCC"/>
      </top>
      <bottom style="thin">
        <color rgb="FFBFBFBF"/>
      </bottom>
      <diagonal/>
    </border>
    <border>
      <left style="thin">
        <color rgb="FFCCCCCC"/>
      </left>
      <right style="thin">
        <color rgb="FF000000"/>
      </right>
      <top style="thin">
        <color rgb="FFCCCCCC"/>
      </top>
      <bottom style="thin">
        <color rgb="FFB7B7B7"/>
      </bottom>
      <diagonal/>
    </border>
    <border>
      <left style="thin">
        <color rgb="FFCCCCCC"/>
      </left>
      <right style="thin">
        <color rgb="FFB7B7B7"/>
      </right>
      <top style="thin">
        <color rgb="FFCCCCCC"/>
      </top>
      <bottom style="thin">
        <color rgb="FFBFBFBF"/>
      </bottom>
      <diagonal/>
    </border>
    <border>
      <left style="thin">
        <color rgb="FFCCCCCC"/>
      </left>
      <right style="thin">
        <color rgb="FFB7B7B7"/>
      </right>
      <top style="thin">
        <color rgb="FFCCCCCC"/>
      </top>
      <bottom style="thin">
        <color rgb="FF000000"/>
      </bottom>
      <diagonal/>
    </border>
    <border>
      <left style="thin">
        <color rgb="FF000000"/>
      </left>
      <right style="thin">
        <color rgb="FF000000"/>
      </right>
      <top style="thin">
        <color rgb="FF000000"/>
      </top>
      <bottom style="thin">
        <color rgb="FFD0CECE"/>
      </bottom>
      <diagonal/>
    </border>
    <border>
      <left style="thin">
        <color rgb="FF000000"/>
      </left>
      <right style="thin">
        <color rgb="FF000000"/>
      </right>
      <top style="thin">
        <color rgb="FFCCCCCC"/>
      </top>
      <bottom style="thin">
        <color rgb="FFD0CECE"/>
      </bottom>
      <diagonal/>
    </border>
    <border>
      <left style="thin">
        <color rgb="FFCCCCCC"/>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736">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readingOrder="1"/>
    </xf>
    <xf numFmtId="0" fontId="3" fillId="4" borderId="1" xfId="0" applyFont="1" applyFill="1" applyBorder="1" applyAlignment="1">
      <alignment horizontal="center" vertical="center" wrapText="1" readingOrder="1"/>
    </xf>
    <xf numFmtId="0" fontId="4" fillId="0" borderId="0" xfId="0" applyFont="1" applyAlignment="1">
      <alignment horizontal="center" vertical="center"/>
    </xf>
    <xf numFmtId="0" fontId="3" fillId="5" borderId="2" xfId="0" applyFont="1" applyFill="1" applyBorder="1" applyAlignment="1">
      <alignment horizontal="center" vertical="center" readingOrder="1"/>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2" xfId="0" applyBorder="1" applyAlignment="1">
      <alignment vertical="center"/>
    </xf>
    <xf numFmtId="0" fontId="0" fillId="0" borderId="2" xfId="0" applyBorder="1" applyAlignment="1">
      <alignment horizontal="center" vertical="center" wrapText="1"/>
    </xf>
    <xf numFmtId="0" fontId="0" fillId="0" borderId="2" xfId="0" applyBorder="1" applyAlignment="1">
      <alignment vertical="center" wrapText="1"/>
    </xf>
    <xf numFmtId="0" fontId="3" fillId="8" borderId="3" xfId="0" applyFont="1" applyFill="1" applyBorder="1" applyAlignment="1">
      <alignment horizontal="center" vertical="center" wrapText="1" readingOrder="1"/>
    </xf>
    <xf numFmtId="0" fontId="0" fillId="9" borderId="7" xfId="0" applyFill="1" applyBorder="1" applyAlignment="1">
      <alignment horizontal="center" vertical="center"/>
    </xf>
    <xf numFmtId="0" fontId="0" fillId="9" borderId="8" xfId="0" applyFill="1" applyBorder="1" applyAlignment="1">
      <alignment horizontal="center" vertical="center"/>
    </xf>
    <xf numFmtId="0" fontId="0" fillId="9" borderId="0" xfId="0" applyFill="1" applyAlignment="1">
      <alignment horizontal="center" vertical="center"/>
    </xf>
    <xf numFmtId="0" fontId="0" fillId="9" borderId="9" xfId="0" applyFill="1" applyBorder="1" applyAlignment="1">
      <alignment horizontal="center" vertical="center"/>
    </xf>
    <xf numFmtId="0" fontId="0" fillId="9" borderId="0" xfId="0" applyFill="1" applyAlignment="1">
      <alignment horizontal="center" vertical="center" wrapText="1"/>
    </xf>
    <xf numFmtId="0" fontId="0" fillId="0" borderId="0" xfId="0" applyAlignment="1">
      <alignment vertical="center"/>
    </xf>
    <xf numFmtId="0" fontId="8" fillId="10" borderId="10" xfId="0" applyFont="1" applyFill="1" applyBorder="1" applyAlignment="1">
      <alignment horizontal="center" vertical="center" readingOrder="1"/>
    </xf>
    <xf numFmtId="0" fontId="9" fillId="10" borderId="4" xfId="0" applyFont="1" applyFill="1" applyBorder="1" applyAlignment="1">
      <alignment vertical="center" wrapText="1"/>
    </xf>
    <xf numFmtId="0" fontId="5" fillId="0" borderId="4" xfId="1" applyBorder="1" applyAlignment="1">
      <alignment horizontal="center" vertical="center"/>
    </xf>
    <xf numFmtId="0" fontId="3" fillId="10" borderId="10" xfId="0" applyFont="1" applyFill="1" applyBorder="1" applyAlignment="1">
      <alignment horizontal="center" vertical="center" readingOrder="1"/>
    </xf>
    <xf numFmtId="0" fontId="6" fillId="10" borderId="4" xfId="0" applyFont="1" applyFill="1" applyBorder="1" applyAlignment="1">
      <alignment vertical="center" wrapText="1"/>
    </xf>
    <xf numFmtId="0" fontId="6" fillId="10" borderId="4" xfId="0" applyFont="1" applyFill="1" applyBorder="1" applyAlignment="1">
      <alignment vertical="center"/>
    </xf>
    <xf numFmtId="0" fontId="3" fillId="11" borderId="10" xfId="0" applyFont="1" applyFill="1" applyBorder="1" applyAlignment="1">
      <alignment horizontal="center" vertical="center" readingOrder="1"/>
    </xf>
    <xf numFmtId="0" fontId="7" fillId="10" borderId="4" xfId="0" applyFont="1" applyFill="1" applyBorder="1" applyAlignment="1">
      <alignment vertical="center"/>
    </xf>
    <xf numFmtId="0" fontId="7" fillId="10" borderId="4" xfId="0" applyFont="1" applyFill="1" applyBorder="1" applyAlignment="1">
      <alignment wrapText="1"/>
    </xf>
    <xf numFmtId="0" fontId="0" fillId="0" borderId="2" xfId="0" applyBorder="1" applyAlignment="1">
      <alignment horizontal="center" vertical="center"/>
    </xf>
    <xf numFmtId="0" fontId="0" fillId="10" borderId="2" xfId="0" applyFill="1" applyBorder="1" applyAlignment="1">
      <alignment horizontal="center" vertical="center"/>
    </xf>
    <xf numFmtId="0" fontId="0" fillId="10" borderId="4" xfId="0" applyFill="1" applyBorder="1" applyAlignment="1">
      <alignment horizontal="left" vertical="center"/>
    </xf>
    <xf numFmtId="0" fontId="0" fillId="10" borderId="4" xfId="0" applyFill="1" applyBorder="1" applyAlignment="1">
      <alignment horizontal="left" vertical="center" wrapText="1"/>
    </xf>
    <xf numFmtId="0" fontId="7" fillId="10" borderId="4" xfId="0" applyFont="1" applyFill="1" applyBorder="1" applyAlignment="1">
      <alignment vertical="center" wrapText="1"/>
    </xf>
    <xf numFmtId="0" fontId="3" fillId="0" borderId="10" xfId="0" applyFont="1" applyBorder="1" applyAlignment="1">
      <alignment horizontal="center" vertical="center" readingOrder="1"/>
    </xf>
    <xf numFmtId="0" fontId="10" fillId="0" borderId="4" xfId="0" applyFont="1" applyBorder="1" applyAlignment="1">
      <alignment vertical="center"/>
    </xf>
    <xf numFmtId="0" fontId="10" fillId="0" borderId="4" xfId="0" applyFont="1" applyBorder="1" applyAlignment="1">
      <alignment vertical="center" wrapText="1"/>
    </xf>
    <xf numFmtId="0" fontId="0" fillId="0" borderId="4" xfId="0" applyBorder="1" applyAlignment="1">
      <alignment horizontal="left" vertical="center" wrapText="1"/>
    </xf>
    <xf numFmtId="0" fontId="11" fillId="0" borderId="2" xfId="0" applyFont="1" applyBorder="1" applyAlignment="1">
      <alignment horizontal="center" vertical="center" wrapText="1"/>
    </xf>
    <xf numFmtId="0" fontId="0" fillId="9" borderId="8" xfId="0" applyFill="1" applyBorder="1" applyAlignment="1">
      <alignment horizontal="center" vertical="center" wrapText="1"/>
    </xf>
    <xf numFmtId="0" fontId="0" fillId="0" borderId="0" xfId="0" applyAlignment="1">
      <alignment horizontal="center" vertical="center" wrapText="1"/>
    </xf>
    <xf numFmtId="0" fontId="4" fillId="3" borderId="0" xfId="0" applyFont="1" applyFill="1" applyAlignment="1">
      <alignment horizontal="center" vertical="center"/>
    </xf>
    <xf numFmtId="0" fontId="3" fillId="3" borderId="0" xfId="0" applyFont="1" applyFill="1" applyAlignment="1">
      <alignment horizontal="center" vertical="center"/>
    </xf>
    <xf numFmtId="164" fontId="0" fillId="12" borderId="10" xfId="0" applyNumberFormat="1" applyFill="1" applyBorder="1" applyAlignment="1">
      <alignment horizontal="center" vertical="center"/>
    </xf>
    <xf numFmtId="0" fontId="11" fillId="13" borderId="2" xfId="0" applyFont="1" applyFill="1" applyBorder="1" applyAlignment="1">
      <alignment horizontal="center" vertical="center" wrapText="1"/>
    </xf>
    <xf numFmtId="0" fontId="0" fillId="0" borderId="0" xfId="0" applyAlignment="1">
      <alignment horizontal="center"/>
    </xf>
    <xf numFmtId="21" fontId="0" fillId="13" borderId="2" xfId="0" applyNumberFormat="1" applyFill="1" applyBorder="1" applyAlignment="1">
      <alignment horizontal="center" vertical="center"/>
    </xf>
    <xf numFmtId="0" fontId="12" fillId="0" borderId="2" xfId="0" applyFont="1" applyBorder="1" applyAlignment="1">
      <alignment wrapText="1" readingOrder="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10" borderId="10" xfId="0" applyFill="1" applyBorder="1" applyAlignment="1">
      <alignment horizontal="center" vertical="center"/>
    </xf>
    <xf numFmtId="21" fontId="12" fillId="13" borderId="19" xfId="0" applyNumberFormat="1" applyFont="1" applyFill="1" applyBorder="1" applyAlignment="1">
      <alignment horizontal="center" wrapText="1" readingOrder="1"/>
    </xf>
    <xf numFmtId="21" fontId="12" fillId="0" borderId="2" xfId="0" applyNumberFormat="1" applyFont="1" applyBorder="1" applyAlignment="1">
      <alignment horizontal="center" vertical="center" readingOrder="1"/>
    </xf>
    <xf numFmtId="0" fontId="12" fillId="10" borderId="2" xfId="0" applyFont="1" applyFill="1" applyBorder="1" applyAlignment="1">
      <alignment vertical="center" wrapText="1" readingOrder="1"/>
    </xf>
    <xf numFmtId="0" fontId="11" fillId="0" borderId="10" xfId="0" applyFont="1" applyBorder="1" applyAlignment="1">
      <alignment horizontal="center" vertical="center" wrapText="1"/>
    </xf>
    <xf numFmtId="0" fontId="12" fillId="10" borderId="2" xfId="0" applyFont="1" applyFill="1" applyBorder="1" applyAlignment="1">
      <alignment wrapText="1" readingOrder="1"/>
    </xf>
    <xf numFmtId="0" fontId="14" fillId="15" borderId="2" xfId="0" applyFont="1" applyFill="1" applyBorder="1" applyAlignment="1">
      <alignment horizontal="center" vertical="center" readingOrder="1"/>
    </xf>
    <xf numFmtId="0" fontId="12" fillId="10" borderId="2" xfId="0" applyFont="1" applyFill="1" applyBorder="1" applyAlignment="1">
      <alignment horizontal="left" vertical="center" wrapText="1" readingOrder="1"/>
    </xf>
    <xf numFmtId="0" fontId="5" fillId="0" borderId="4" xfId="1" applyBorder="1" applyAlignment="1">
      <alignment vertical="center"/>
    </xf>
    <xf numFmtId="0" fontId="0" fillId="9" borderId="0" xfId="0" applyFill="1" applyAlignment="1">
      <alignment vertical="center" wrapText="1"/>
    </xf>
    <xf numFmtId="0" fontId="3" fillId="8" borderId="3" xfId="0" applyFont="1" applyFill="1" applyBorder="1" applyAlignment="1">
      <alignment horizontal="center" vertical="center" readingOrder="1"/>
    </xf>
    <xf numFmtId="0" fontId="5" fillId="0" borderId="0" xfId="1"/>
    <xf numFmtId="21" fontId="12" fillId="0" borderId="0" xfId="0" applyNumberFormat="1" applyFont="1" applyAlignment="1">
      <alignment horizontal="center" vertical="center"/>
    </xf>
    <xf numFmtId="21" fontId="12" fillId="0" borderId="8" xfId="0" applyNumberFormat="1" applyFont="1" applyBorder="1" applyAlignment="1">
      <alignment horizontal="center" vertical="center"/>
    </xf>
    <xf numFmtId="0" fontId="6" fillId="10"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9" fillId="10" borderId="4"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0" fillId="10" borderId="4" xfId="0" applyFill="1" applyBorder="1" applyAlignment="1">
      <alignment horizontal="center" vertical="center" wrapText="1"/>
    </xf>
    <xf numFmtId="0" fontId="0" fillId="0" borderId="4" xfId="0" applyBorder="1" applyAlignment="1">
      <alignment horizontal="center" vertical="center" wrapText="1"/>
    </xf>
    <xf numFmtId="0" fontId="9" fillId="10" borderId="21" xfId="0" applyFont="1" applyFill="1" applyBorder="1" applyAlignment="1">
      <alignment horizontal="center" vertical="center" wrapText="1"/>
    </xf>
    <xf numFmtId="0" fontId="6" fillId="10" borderId="21" xfId="0" applyFont="1" applyFill="1" applyBorder="1" applyAlignment="1">
      <alignment horizontal="center" vertical="center" wrapText="1"/>
    </xf>
    <xf numFmtId="0" fontId="0" fillId="10" borderId="21" xfId="0" applyFill="1" applyBorder="1" applyAlignment="1">
      <alignment horizontal="center" vertical="center" wrapText="1"/>
    </xf>
    <xf numFmtId="0" fontId="0" fillId="0" borderId="21" xfId="0" applyBorder="1" applyAlignment="1">
      <alignment horizontal="center" vertical="center" wrapText="1"/>
    </xf>
    <xf numFmtId="0" fontId="0" fillId="10" borderId="17" xfId="0" applyFill="1" applyBorder="1" applyAlignment="1">
      <alignment horizontal="center" vertical="center" wrapText="1"/>
    </xf>
    <xf numFmtId="0" fontId="7" fillId="10"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10"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10" borderId="21" xfId="0" applyFont="1" applyFill="1" applyBorder="1" applyAlignment="1">
      <alignment horizontal="center" vertical="center" wrapText="1"/>
    </xf>
    <xf numFmtId="0" fontId="7" fillId="0" borderId="21" xfId="0" applyFont="1" applyBorder="1" applyAlignment="1">
      <alignment horizontal="center" vertical="center" wrapText="1"/>
    </xf>
    <xf numFmtId="21" fontId="13" fillId="13" borderId="19" xfId="0" applyNumberFormat="1" applyFont="1" applyFill="1" applyBorder="1" applyAlignment="1">
      <alignment horizontal="center" readingOrder="1"/>
    </xf>
    <xf numFmtId="164" fontId="0" fillId="13" borderId="10" xfId="0" applyNumberFormat="1" applyFill="1" applyBorder="1" applyAlignment="1">
      <alignment horizontal="center" vertical="center"/>
    </xf>
    <xf numFmtId="0" fontId="5" fillId="0" borderId="2" xfId="1" applyBorder="1" applyAlignment="1">
      <alignment horizontal="center" vertical="center" wrapText="1"/>
    </xf>
    <xf numFmtId="164" fontId="0" fillId="0" borderId="10" xfId="0" applyNumberFormat="1" applyBorder="1" applyAlignment="1">
      <alignment horizontal="center" vertical="center"/>
    </xf>
    <xf numFmtId="164" fontId="1" fillId="0" borderId="10" xfId="0" applyNumberFormat="1" applyFont="1" applyBorder="1" applyAlignment="1">
      <alignment horizontal="center" vertical="center"/>
    </xf>
    <xf numFmtId="0" fontId="15" fillId="2" borderId="0" xfId="0" applyFont="1" applyFill="1" applyAlignment="1">
      <alignment horizontal="center" vertical="center" wrapText="1"/>
    </xf>
    <xf numFmtId="0" fontId="1" fillId="0" borderId="0" xfId="0" applyFont="1"/>
    <xf numFmtId="0" fontId="16" fillId="3" borderId="0" xfId="0" applyFont="1" applyFill="1" applyAlignment="1">
      <alignment horizontal="left" vertical="center"/>
    </xf>
    <xf numFmtId="0" fontId="16" fillId="0" borderId="0" xfId="0" applyFont="1" applyAlignment="1">
      <alignment horizontal="left" vertical="center"/>
    </xf>
    <xf numFmtId="0" fontId="10" fillId="10" borderId="4" xfId="0" applyFont="1" applyFill="1" applyBorder="1" applyAlignment="1">
      <alignment vertical="center" wrapText="1"/>
    </xf>
    <xf numFmtId="0" fontId="0" fillId="9" borderId="9" xfId="0" applyFill="1" applyBorder="1" applyAlignment="1">
      <alignment horizontal="center" vertical="center" wrapText="1"/>
    </xf>
    <xf numFmtId="0" fontId="0" fillId="0" borderId="0" xfId="0" applyAlignment="1">
      <alignment wrapText="1"/>
    </xf>
    <xf numFmtId="0" fontId="8" fillId="13" borderId="10" xfId="0" applyFont="1" applyFill="1" applyBorder="1" applyAlignment="1">
      <alignment horizontal="center" vertical="center" readingOrder="1"/>
    </xf>
    <xf numFmtId="0" fontId="3" fillId="13" borderId="10" xfId="0" applyFont="1" applyFill="1" applyBorder="1" applyAlignment="1">
      <alignment horizontal="center" vertical="center" readingOrder="1"/>
    </xf>
    <xf numFmtId="164" fontId="0" fillId="13" borderId="20" xfId="0" applyNumberFormat="1" applyFill="1" applyBorder="1" applyAlignment="1">
      <alignment horizontal="center" vertical="center"/>
    </xf>
    <xf numFmtId="21" fontId="0" fillId="13" borderId="6" xfId="0" applyNumberFormat="1" applyFill="1" applyBorder="1" applyAlignment="1">
      <alignment horizontal="center" vertical="center"/>
    </xf>
    <xf numFmtId="0" fontId="5" fillId="0" borderId="0" xfId="1" applyAlignment="1">
      <alignment horizontal="center" vertical="center"/>
    </xf>
    <xf numFmtId="0" fontId="5" fillId="0" borderId="2" xfId="1" applyBorder="1" applyAlignment="1">
      <alignment horizontal="center" vertical="center" readingOrder="1"/>
    </xf>
    <xf numFmtId="0" fontId="5" fillId="10" borderId="2" xfId="1" applyFill="1" applyBorder="1" applyAlignment="1">
      <alignment horizontal="center" vertical="center"/>
    </xf>
    <xf numFmtId="0" fontId="5" fillId="10" borderId="4" xfId="1" applyFill="1" applyBorder="1" applyAlignment="1">
      <alignment horizontal="center" vertical="center"/>
    </xf>
    <xf numFmtId="0" fontId="5" fillId="13" borderId="2" xfId="1" applyFill="1" applyBorder="1" applyAlignment="1">
      <alignment horizontal="center" vertical="center" readingOrder="1"/>
    </xf>
    <xf numFmtId="0" fontId="5" fillId="10" borderId="2" xfId="1" applyFill="1" applyBorder="1" applyAlignment="1">
      <alignment horizontal="center" vertical="center" readingOrder="1"/>
    </xf>
    <xf numFmtId="0" fontId="5" fillId="10" borderId="13" xfId="1" applyFill="1" applyBorder="1" applyAlignment="1">
      <alignment horizontal="center" vertical="center"/>
    </xf>
    <xf numFmtId="0" fontId="5" fillId="12" borderId="2" xfId="1" applyFill="1" applyBorder="1" applyAlignment="1">
      <alignment horizontal="center" vertical="center" readingOrder="1"/>
    </xf>
    <xf numFmtId="0" fontId="0" fillId="0" borderId="3" xfId="0" applyBorder="1" applyAlignment="1">
      <alignment horizontal="center" vertical="center" wrapText="1"/>
    </xf>
    <xf numFmtId="0" fontId="1" fillId="13" borderId="2" xfId="0" applyFont="1" applyFill="1" applyBorder="1" applyAlignment="1">
      <alignment horizontal="center" vertical="center" wrapText="1"/>
    </xf>
    <xf numFmtId="0" fontId="0" fillId="13" borderId="10" xfId="0" applyFill="1" applyBorder="1" applyAlignment="1">
      <alignment horizontal="center" vertical="center" wrapText="1"/>
    </xf>
    <xf numFmtId="0" fontId="1" fillId="13" borderId="10" xfId="0" applyFont="1" applyFill="1" applyBorder="1" applyAlignment="1">
      <alignment horizontal="center" vertical="center" wrapText="1"/>
    </xf>
    <xf numFmtId="0" fontId="12" fillId="10" borderId="2" xfId="0" applyFont="1" applyFill="1" applyBorder="1" applyAlignment="1">
      <alignment horizontal="center" vertical="center" wrapText="1" readingOrder="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13" borderId="3" xfId="0" applyFont="1" applyFill="1" applyBorder="1" applyAlignment="1">
      <alignment horizontal="center" vertical="center" wrapText="1"/>
    </xf>
    <xf numFmtId="0" fontId="0" fillId="9" borderId="2" xfId="0" applyFill="1" applyBorder="1" applyAlignment="1">
      <alignment horizontal="center" vertical="center"/>
    </xf>
    <xf numFmtId="0" fontId="0" fillId="6" borderId="3" xfId="0" applyFill="1" applyBorder="1" applyAlignment="1">
      <alignment horizontal="center" vertical="center"/>
    </xf>
    <xf numFmtId="0" fontId="0" fillId="6" borderId="5" xfId="0" applyFill="1" applyBorder="1" applyAlignment="1">
      <alignment horizontal="center" vertical="center"/>
    </xf>
    <xf numFmtId="0" fontId="9" fillId="10" borderId="4" xfId="0" applyFont="1" applyFill="1" applyBorder="1" applyAlignment="1">
      <alignment horizontal="left" vertical="center" wrapText="1"/>
    </xf>
    <xf numFmtId="0" fontId="6" fillId="10" borderId="4" xfId="0" applyFont="1" applyFill="1" applyBorder="1" applyAlignment="1">
      <alignment horizontal="left" vertical="center" wrapText="1"/>
    </xf>
    <xf numFmtId="0" fontId="7" fillId="10" borderId="4" xfId="0" applyFont="1" applyFill="1" applyBorder="1" applyAlignment="1">
      <alignment horizontal="left" vertical="center" wrapText="1"/>
    </xf>
    <xf numFmtId="0" fontId="7" fillId="0" borderId="4" xfId="0" applyFont="1" applyBorder="1" applyAlignment="1">
      <alignment vertical="center" wrapText="1"/>
    </xf>
    <xf numFmtId="0" fontId="12" fillId="0" borderId="2" xfId="0" applyFont="1" applyBorder="1" applyAlignment="1">
      <alignment vertical="center" wrapText="1" readingOrder="1"/>
    </xf>
    <xf numFmtId="0" fontId="13" fillId="0" borderId="2" xfId="0" applyFont="1" applyBorder="1" applyAlignment="1">
      <alignment vertical="center" readingOrder="1"/>
    </xf>
    <xf numFmtId="0" fontId="5" fillId="12" borderId="4" xfId="1" applyFill="1" applyBorder="1" applyAlignment="1">
      <alignment horizontal="center" vertical="center"/>
    </xf>
    <xf numFmtId="0" fontId="0" fillId="6" borderId="16" xfId="0" applyFill="1" applyBorder="1" applyAlignment="1">
      <alignment horizontal="center" vertical="center" wrapText="1"/>
    </xf>
    <xf numFmtId="0" fontId="0" fillId="7" borderId="0" xfId="0" applyFill="1" applyAlignment="1">
      <alignment horizontal="center" vertical="center" wrapText="1"/>
    </xf>
    <xf numFmtId="0" fontId="14" fillId="15" borderId="0" xfId="0" applyFont="1" applyFill="1" applyAlignment="1">
      <alignment horizontal="center" vertical="center" readingOrder="1"/>
    </xf>
    <xf numFmtId="0" fontId="0" fillId="13" borderId="2" xfId="0" applyFill="1" applyBorder="1" applyAlignment="1">
      <alignment horizontal="center" vertical="center" wrapText="1"/>
    </xf>
    <xf numFmtId="0" fontId="10" fillId="0" borderId="2" xfId="0" applyFont="1" applyBorder="1" applyAlignment="1">
      <alignment vertical="center" wrapText="1" readingOrder="1"/>
    </xf>
    <xf numFmtId="0" fontId="3" fillId="8" borderId="0" xfId="0" applyFont="1" applyFill="1" applyAlignment="1">
      <alignment horizontal="center" vertical="center" wrapText="1" readingOrder="1"/>
    </xf>
    <xf numFmtId="164" fontId="1" fillId="13" borderId="10" xfId="0" applyNumberFormat="1" applyFont="1" applyFill="1" applyBorder="1" applyAlignment="1">
      <alignment horizontal="center" vertical="center"/>
    </xf>
    <xf numFmtId="21" fontId="12" fillId="13" borderId="19" xfId="0" applyNumberFormat="1" applyFont="1" applyFill="1" applyBorder="1" applyAlignment="1">
      <alignment horizontal="center" vertical="center" wrapText="1" readingOrder="1"/>
    </xf>
    <xf numFmtId="0" fontId="10" fillId="0" borderId="2" xfId="0" applyFont="1" applyBorder="1" applyAlignment="1">
      <alignment horizontal="center" vertical="center"/>
    </xf>
    <xf numFmtId="0" fontId="10" fillId="13" borderId="2" xfId="0" applyFont="1" applyFill="1" applyBorder="1" applyAlignment="1">
      <alignment horizontal="center" vertical="center"/>
    </xf>
    <xf numFmtId="0" fontId="8" fillId="11" borderId="10" xfId="0" applyFont="1" applyFill="1" applyBorder="1" applyAlignment="1">
      <alignment horizontal="center" vertical="center" readingOrder="1"/>
    </xf>
    <xf numFmtId="0" fontId="12" fillId="13" borderId="2" xfId="0" applyFont="1" applyFill="1" applyBorder="1" applyAlignment="1">
      <alignment vertical="center" wrapText="1" readingOrder="1"/>
    </xf>
    <xf numFmtId="0" fontId="17" fillId="13" borderId="2" xfId="0" applyFont="1" applyFill="1" applyBorder="1" applyAlignment="1">
      <alignment vertical="center" wrapText="1" readingOrder="1"/>
    </xf>
    <xf numFmtId="0" fontId="12" fillId="13" borderId="2" xfId="0" applyFont="1" applyFill="1" applyBorder="1" applyAlignment="1">
      <alignment wrapText="1" readingOrder="1"/>
    </xf>
    <xf numFmtId="0" fontId="0" fillId="0" borderId="4" xfId="0" applyBorder="1" applyAlignment="1">
      <alignment horizontal="left" vertical="center"/>
    </xf>
    <xf numFmtId="0" fontId="0" fillId="13" borderId="4" xfId="0" applyFill="1" applyBorder="1" applyAlignment="1">
      <alignment horizontal="left" vertical="center" wrapText="1"/>
    </xf>
    <xf numFmtId="0" fontId="9" fillId="13" borderId="4" xfId="0" applyFont="1" applyFill="1" applyBorder="1" applyAlignment="1">
      <alignment vertical="center" wrapText="1"/>
    </xf>
    <xf numFmtId="0" fontId="7" fillId="13" borderId="4" xfId="0" applyFont="1" applyFill="1" applyBorder="1" applyAlignment="1">
      <alignment vertical="center" wrapText="1"/>
    </xf>
    <xf numFmtId="0" fontId="10" fillId="13" borderId="4" xfId="0" applyFont="1" applyFill="1" applyBorder="1" applyAlignment="1">
      <alignment vertical="center" wrapText="1"/>
    </xf>
    <xf numFmtId="0" fontId="0" fillId="13" borderId="6" xfId="0" applyFill="1" applyBorder="1" applyAlignment="1">
      <alignment horizontal="center" vertical="center" wrapText="1"/>
    </xf>
    <xf numFmtId="0" fontId="9" fillId="10" borderId="4" xfId="0" applyFont="1" applyFill="1" applyBorder="1" applyAlignment="1">
      <alignment vertical="center"/>
    </xf>
    <xf numFmtId="0" fontId="7" fillId="10" borderId="4" xfId="0" applyFont="1" applyFill="1" applyBorder="1"/>
    <xf numFmtId="0" fontId="7" fillId="0" borderId="4" xfId="0" applyFont="1" applyBorder="1"/>
    <xf numFmtId="0" fontId="10" fillId="0" borderId="4" xfId="0" applyFont="1" applyBorder="1"/>
    <xf numFmtId="0" fontId="12" fillId="0" borderId="0" xfId="0" applyFont="1" applyAlignment="1">
      <alignment wrapText="1"/>
    </xf>
    <xf numFmtId="0" fontId="12" fillId="0" borderId="0" xfId="0" applyFont="1"/>
    <xf numFmtId="21" fontId="1" fillId="13" borderId="13" xfId="1" applyNumberFormat="1" applyFont="1" applyFill="1" applyBorder="1" applyAlignment="1">
      <alignment horizontal="center" vertical="center"/>
    </xf>
    <xf numFmtId="0" fontId="1" fillId="13" borderId="13" xfId="1" applyFont="1" applyFill="1" applyBorder="1" applyAlignment="1">
      <alignment horizontal="center" vertical="center"/>
    </xf>
    <xf numFmtId="0" fontId="0" fillId="6" borderId="16" xfId="0" applyFill="1" applyBorder="1" applyAlignment="1">
      <alignment horizontal="center" vertical="center"/>
    </xf>
    <xf numFmtId="0" fontId="11" fillId="13" borderId="9" xfId="0" applyFont="1" applyFill="1" applyBorder="1" applyAlignment="1">
      <alignment horizontal="center" vertical="center" wrapText="1"/>
    </xf>
    <xf numFmtId="0" fontId="0" fillId="0" borderId="0" xfId="0" applyAlignment="1">
      <alignment horizontal="left" vertical="center" wrapText="1"/>
    </xf>
    <xf numFmtId="164" fontId="11" fillId="13" borderId="10" xfId="0" applyNumberFormat="1" applyFont="1" applyFill="1" applyBorder="1" applyAlignment="1">
      <alignment horizontal="center" vertical="center"/>
    </xf>
    <xf numFmtId="21" fontId="0" fillId="13" borderId="0" xfId="0" applyNumberFormat="1" applyFill="1" applyAlignment="1">
      <alignment horizontal="center" vertical="center"/>
    </xf>
    <xf numFmtId="0" fontId="10" fillId="13" borderId="0" xfId="0" applyFont="1" applyFill="1" applyAlignment="1">
      <alignment horizontal="center" vertical="center"/>
    </xf>
    <xf numFmtId="0" fontId="1" fillId="10"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vertical="center"/>
    </xf>
    <xf numFmtId="0" fontId="10" fillId="10" borderId="4" xfId="0" applyFont="1" applyFill="1" applyBorder="1" applyAlignment="1">
      <alignment horizontal="left" vertical="center" wrapText="1"/>
    </xf>
    <xf numFmtId="0" fontId="8" fillId="8" borderId="5" xfId="0" applyFont="1" applyFill="1" applyBorder="1" applyAlignment="1">
      <alignment horizontal="center" vertical="center" readingOrder="1"/>
    </xf>
    <xf numFmtId="0" fontId="8" fillId="4" borderId="26" xfId="0" applyFont="1" applyFill="1" applyBorder="1" applyAlignment="1">
      <alignment horizontal="center" vertical="center" wrapText="1" readingOrder="1"/>
    </xf>
    <xf numFmtId="0" fontId="5" fillId="0" borderId="0" xfId="1" applyAlignment="1">
      <alignment horizontal="center"/>
    </xf>
    <xf numFmtId="0" fontId="8" fillId="4" borderId="32" xfId="0" applyFont="1" applyFill="1" applyBorder="1" applyAlignment="1">
      <alignment horizontal="center" vertical="center" wrapText="1" readingOrder="1"/>
    </xf>
    <xf numFmtId="0" fontId="3" fillId="8" borderId="16" xfId="0" applyFont="1" applyFill="1" applyBorder="1" applyAlignment="1">
      <alignment horizontal="center" vertical="center" readingOrder="1"/>
    </xf>
    <xf numFmtId="0" fontId="8" fillId="10" borderId="7" xfId="0" applyFont="1" applyFill="1" applyBorder="1" applyAlignment="1">
      <alignment horizontal="center" vertical="center" readingOrder="1"/>
    </xf>
    <xf numFmtId="0" fontId="7" fillId="10" borderId="0" xfId="0" applyFont="1" applyFill="1" applyAlignment="1">
      <alignment vertical="center" wrapText="1"/>
    </xf>
    <xf numFmtId="0" fontId="0" fillId="0" borderId="7" xfId="0" applyBorder="1" applyAlignment="1">
      <alignment horizontal="center" vertical="center"/>
    </xf>
    <xf numFmtId="0" fontId="3" fillId="8" borderId="5" xfId="0" applyFont="1" applyFill="1" applyBorder="1" applyAlignment="1">
      <alignment vertical="center" readingOrder="1"/>
    </xf>
    <xf numFmtId="0" fontId="0" fillId="0" borderId="0" xfId="0" applyAlignment="1">
      <alignment vertical="center" wrapText="1"/>
    </xf>
    <xf numFmtId="21" fontId="11" fillId="0" borderId="2" xfId="0" applyNumberFormat="1" applyFont="1" applyBorder="1" applyAlignment="1">
      <alignment horizontal="center" vertical="center"/>
    </xf>
    <xf numFmtId="0" fontId="9" fillId="10" borderId="4" xfId="0" applyFont="1" applyFill="1" applyBorder="1" applyAlignment="1">
      <alignment horizontal="left" vertical="center"/>
    </xf>
    <xf numFmtId="0" fontId="6" fillId="10" borderId="4" xfId="0" applyFont="1" applyFill="1" applyBorder="1" applyAlignment="1">
      <alignment horizontal="left" vertical="center"/>
    </xf>
    <xf numFmtId="0" fontId="7" fillId="10" borderId="4" xfId="0" applyFont="1" applyFill="1" applyBorder="1" applyAlignment="1">
      <alignment horizontal="left" vertical="center"/>
    </xf>
    <xf numFmtId="0" fontId="5" fillId="12" borderId="0" xfId="1" applyFill="1" applyAlignment="1">
      <alignment horizontal="center"/>
    </xf>
    <xf numFmtId="0" fontId="5" fillId="0" borderId="2" xfId="1" applyBorder="1" applyAlignment="1">
      <alignment horizontal="center" vertical="center"/>
    </xf>
    <xf numFmtId="0" fontId="5" fillId="0" borderId="17" xfId="1" applyBorder="1" applyAlignment="1">
      <alignment horizontal="center" vertical="center"/>
    </xf>
    <xf numFmtId="0" fontId="1" fillId="10" borderId="4" xfId="0" applyFont="1" applyFill="1" applyBorder="1" applyAlignment="1">
      <alignment horizontal="left" vertical="center" wrapText="1"/>
    </xf>
    <xf numFmtId="0" fontId="25" fillId="0" borderId="0" xfId="0" applyFont="1" applyAlignment="1">
      <alignment horizontal="center" vertical="center"/>
    </xf>
    <xf numFmtId="0" fontId="25" fillId="0" borderId="0" xfId="0" applyFont="1"/>
    <xf numFmtId="0" fontId="25" fillId="9" borderId="7" xfId="0" applyFont="1" applyFill="1" applyBorder="1" applyAlignment="1">
      <alignment horizontal="center" vertical="center"/>
    </xf>
    <xf numFmtId="0" fontId="25" fillId="9" borderId="7" xfId="0" applyFont="1" applyFill="1" applyBorder="1" applyAlignment="1">
      <alignment horizontal="center" vertical="center" wrapText="1"/>
    </xf>
    <xf numFmtId="0" fontId="27" fillId="10" borderId="26" xfId="0" applyFont="1" applyFill="1" applyBorder="1" applyAlignment="1">
      <alignment vertical="center" readingOrder="1"/>
    </xf>
    <xf numFmtId="0" fontId="25" fillId="0" borderId="0" xfId="0" applyFont="1" applyAlignment="1">
      <alignment vertical="center"/>
    </xf>
    <xf numFmtId="0" fontId="26" fillId="0" borderId="0" xfId="1" applyFont="1" applyAlignment="1">
      <alignment horizontal="center" vertical="center"/>
    </xf>
    <xf numFmtId="0" fontId="27" fillId="11" borderId="26" xfId="0" applyFont="1" applyFill="1" applyBorder="1" applyAlignment="1">
      <alignment vertical="center" readingOrder="1"/>
    </xf>
    <xf numFmtId="0" fontId="27" fillId="11" borderId="31" xfId="0" applyFont="1" applyFill="1" applyBorder="1" applyAlignment="1">
      <alignment vertical="center" readingOrder="1"/>
    </xf>
    <xf numFmtId="0" fontId="27" fillId="10" borderId="31" xfId="0" applyFont="1" applyFill="1" applyBorder="1" applyAlignment="1">
      <alignment vertical="center" readingOrder="1"/>
    </xf>
    <xf numFmtId="0" fontId="25" fillId="0" borderId="0" xfId="0" applyFont="1" applyAlignment="1">
      <alignment horizontal="left" vertical="center"/>
    </xf>
    <xf numFmtId="0" fontId="25" fillId="9" borderId="16" xfId="0" applyFont="1" applyFill="1" applyBorder="1" applyAlignment="1">
      <alignment horizontal="center" vertical="center"/>
    </xf>
    <xf numFmtId="0" fontId="26" fillId="20" borderId="0" xfId="1" applyFont="1" applyFill="1" applyAlignment="1">
      <alignment horizontal="center" vertical="center"/>
    </xf>
    <xf numFmtId="0" fontId="27" fillId="11" borderId="60" xfId="0" applyFont="1" applyFill="1" applyBorder="1" applyAlignment="1">
      <alignment horizontal="center" vertical="center" wrapText="1" readingOrder="1"/>
    </xf>
    <xf numFmtId="0" fontId="25" fillId="9" borderId="7" xfId="0" applyFont="1" applyFill="1" applyBorder="1" applyAlignment="1">
      <alignment vertical="center" wrapText="1"/>
    </xf>
    <xf numFmtId="0" fontId="23" fillId="9" borderId="7" xfId="0" applyFont="1" applyFill="1" applyBorder="1" applyAlignment="1">
      <alignment horizontal="center" vertical="center"/>
    </xf>
    <xf numFmtId="0" fontId="23" fillId="9" borderId="16" xfId="0" applyFont="1" applyFill="1" applyBorder="1" applyAlignment="1">
      <alignment horizontal="center" vertical="center"/>
    </xf>
    <xf numFmtId="0" fontId="31" fillId="0" borderId="0" xfId="0" applyFont="1"/>
    <xf numFmtId="0" fontId="24" fillId="0" borderId="47" xfId="0" applyFont="1" applyBorder="1" applyAlignment="1">
      <alignment horizontal="center" vertical="center" wrapText="1" readingOrder="1"/>
    </xf>
    <xf numFmtId="0" fontId="26" fillId="0" borderId="51" xfId="1" applyFont="1" applyBorder="1" applyAlignment="1">
      <alignment horizontal="center" vertical="center" readingOrder="1"/>
    </xf>
    <xf numFmtId="0" fontId="24" fillId="0" borderId="40" xfId="0" applyFont="1" applyBorder="1" applyAlignment="1">
      <alignment horizontal="center" vertical="center" wrapText="1" readingOrder="1"/>
    </xf>
    <xf numFmtId="0" fontId="26" fillId="0" borderId="52" xfId="1" applyFont="1" applyBorder="1" applyAlignment="1">
      <alignment horizontal="center" vertical="center" readingOrder="1"/>
    </xf>
    <xf numFmtId="0" fontId="26" fillId="10" borderId="52" xfId="1" applyFont="1" applyFill="1" applyBorder="1" applyAlignment="1">
      <alignment horizontal="center" vertical="center" readingOrder="1"/>
    </xf>
    <xf numFmtId="0" fontId="26" fillId="19" borderId="52" xfId="1" applyFont="1" applyFill="1" applyBorder="1" applyAlignment="1">
      <alignment horizontal="center" vertical="center" readingOrder="1"/>
    </xf>
    <xf numFmtId="0" fontId="24" fillId="0" borderId="42" xfId="0" applyFont="1" applyBorder="1" applyAlignment="1">
      <alignment horizontal="center" vertical="center" wrapText="1" readingOrder="1"/>
    </xf>
    <xf numFmtId="0" fontId="26" fillId="0" borderId="53" xfId="1" applyFont="1" applyBorder="1" applyAlignment="1">
      <alignment horizontal="center" vertical="center" readingOrder="1"/>
    </xf>
    <xf numFmtId="0" fontId="27" fillId="21" borderId="60" xfId="0" applyFont="1" applyFill="1" applyBorder="1" applyAlignment="1">
      <alignment horizontal="center" vertical="center" readingOrder="1"/>
    </xf>
    <xf numFmtId="0" fontId="20" fillId="3" borderId="0" xfId="0" applyFont="1" applyFill="1" applyAlignment="1">
      <alignment horizontal="left" vertical="center"/>
    </xf>
    <xf numFmtId="0" fontId="5" fillId="10" borderId="64" xfId="1" applyFill="1" applyBorder="1" applyAlignment="1">
      <alignment horizontal="center" vertical="center" readingOrder="1"/>
    </xf>
    <xf numFmtId="0" fontId="5" fillId="10" borderId="58" xfId="1" applyFill="1" applyBorder="1" applyAlignment="1">
      <alignment horizontal="center" vertical="center" readingOrder="1"/>
    </xf>
    <xf numFmtId="0" fontId="5" fillId="10" borderId="53" xfId="1" applyFill="1" applyBorder="1" applyAlignment="1">
      <alignment horizontal="center" vertical="center" readingOrder="1"/>
    </xf>
    <xf numFmtId="0" fontId="27" fillId="10" borderId="0" xfId="0" applyFont="1" applyFill="1" applyAlignment="1">
      <alignment horizontal="center" vertical="center" wrapText="1" readingOrder="1"/>
    </xf>
    <xf numFmtId="0" fontId="27" fillId="22" borderId="0" xfId="0" applyFont="1" applyFill="1" applyAlignment="1">
      <alignment horizontal="center" vertical="center" wrapText="1" readingOrder="1"/>
    </xf>
    <xf numFmtId="0" fontId="27" fillId="21" borderId="28" xfId="0" applyFont="1" applyFill="1" applyBorder="1" applyAlignment="1">
      <alignment horizontal="center" vertical="center" readingOrder="1"/>
    </xf>
    <xf numFmtId="0" fontId="27" fillId="21" borderId="29" xfId="0" applyFont="1" applyFill="1" applyBorder="1" applyAlignment="1">
      <alignment horizontal="center" vertical="center" readingOrder="1"/>
    </xf>
    <xf numFmtId="0" fontId="5" fillId="0" borderId="0" xfId="1" applyBorder="1" applyAlignment="1">
      <alignment horizontal="center" vertical="center"/>
    </xf>
    <xf numFmtId="0" fontId="32" fillId="0" borderId="4" xfId="0" applyFont="1" applyBorder="1" applyAlignment="1">
      <alignment horizontal="center" vertical="center" wrapText="1"/>
    </xf>
    <xf numFmtId="0" fontId="19" fillId="10" borderId="4" xfId="1" applyFont="1" applyFill="1" applyBorder="1" applyAlignment="1">
      <alignment horizontal="center" vertical="center"/>
    </xf>
    <xf numFmtId="0" fontId="5" fillId="13" borderId="4" xfId="1" applyFill="1" applyBorder="1" applyAlignment="1">
      <alignment horizontal="center" vertical="center"/>
    </xf>
    <xf numFmtId="0" fontId="27" fillId="11" borderId="28" xfId="0" applyFont="1" applyFill="1" applyBorder="1" applyAlignment="1">
      <alignment horizontal="center" vertical="center" wrapText="1" readingOrder="1"/>
    </xf>
    <xf numFmtId="164" fontId="0" fillId="13" borderId="2" xfId="0" applyNumberFormat="1" applyFill="1" applyBorder="1" applyAlignment="1">
      <alignment horizontal="center" vertical="center"/>
    </xf>
    <xf numFmtId="0" fontId="0" fillId="0" borderId="10" xfId="0" applyBorder="1" applyAlignment="1">
      <alignment vertical="center"/>
    </xf>
    <xf numFmtId="164" fontId="0" fillId="13" borderId="15" xfId="0" applyNumberFormat="1" applyFill="1" applyBorder="1" applyAlignment="1">
      <alignment horizontal="center" vertical="center"/>
    </xf>
    <xf numFmtId="164" fontId="0" fillId="13" borderId="3" xfId="0" applyNumberFormat="1" applyFill="1" applyBorder="1" applyAlignment="1">
      <alignment horizontal="center" vertical="center"/>
    </xf>
    <xf numFmtId="164" fontId="0" fillId="13" borderId="6" xfId="0" applyNumberFormat="1" applyFill="1" applyBorder="1" applyAlignment="1">
      <alignment horizontal="center" vertical="center"/>
    </xf>
    <xf numFmtId="0" fontId="0" fillId="9" borderId="16" xfId="0" applyFill="1" applyBorder="1" applyAlignment="1">
      <alignment horizontal="center" vertical="center"/>
    </xf>
    <xf numFmtId="0" fontId="26" fillId="0" borderId="57" xfId="1" applyFont="1" applyBorder="1" applyAlignment="1">
      <alignment vertical="center" readingOrder="1"/>
    </xf>
    <xf numFmtId="0" fontId="26" fillId="0" borderId="58" xfId="1" applyFont="1" applyBorder="1" applyAlignment="1">
      <alignment vertical="center" readingOrder="1"/>
    </xf>
    <xf numFmtId="0" fontId="26" fillId="0" borderId="59" xfId="1" applyFont="1" applyBorder="1" applyAlignment="1">
      <alignment vertical="center" readingOrder="1"/>
    </xf>
    <xf numFmtId="0" fontId="25" fillId="9" borderId="7" xfId="0" applyFont="1" applyFill="1" applyBorder="1" applyAlignment="1">
      <alignment vertical="center"/>
    </xf>
    <xf numFmtId="0" fontId="25" fillId="9" borderId="16" xfId="0" applyFont="1" applyFill="1" applyBorder="1" applyAlignment="1">
      <alignment vertical="center"/>
    </xf>
    <xf numFmtId="0" fontId="5" fillId="10" borderId="2" xfId="1" applyFill="1" applyBorder="1" applyAlignment="1">
      <alignment horizontal="center" readingOrder="1"/>
    </xf>
    <xf numFmtId="21" fontId="17" fillId="13" borderId="2" xfId="0" applyNumberFormat="1" applyFont="1" applyFill="1" applyBorder="1" applyAlignment="1">
      <alignment horizontal="center" vertical="center" readingOrder="1"/>
    </xf>
    <xf numFmtId="0" fontId="3" fillId="10" borderId="26" xfId="0" applyFont="1" applyFill="1" applyBorder="1" applyAlignment="1">
      <alignment readingOrder="1"/>
    </xf>
    <xf numFmtId="0" fontId="0" fillId="0" borderId="0" xfId="0" applyAlignment="1">
      <alignment horizontal="left" vertical="center"/>
    </xf>
    <xf numFmtId="0" fontId="5" fillId="10" borderId="0" xfId="1" applyFill="1" applyAlignment="1">
      <alignment horizontal="center" vertical="center"/>
    </xf>
    <xf numFmtId="0" fontId="3" fillId="11" borderId="26" xfId="0" applyFont="1" applyFill="1" applyBorder="1" applyAlignment="1">
      <alignment readingOrder="1"/>
    </xf>
    <xf numFmtId="0" fontId="3" fillId="11" borderId="31" xfId="0" applyFont="1" applyFill="1" applyBorder="1" applyAlignment="1">
      <alignment readingOrder="1"/>
    </xf>
    <xf numFmtId="0" fontId="23" fillId="17" borderId="0" xfId="0" applyFont="1" applyFill="1" applyAlignment="1">
      <alignment horizontal="center" vertical="center" wrapText="1" readingOrder="1"/>
    </xf>
    <xf numFmtId="0" fontId="23" fillId="16" borderId="0" xfId="0" applyFont="1" applyFill="1" applyAlignment="1">
      <alignment horizontal="center" vertical="center"/>
    </xf>
    <xf numFmtId="0" fontId="25" fillId="0" borderId="0" xfId="0" applyFont="1" applyAlignment="1">
      <alignment horizontal="center" vertical="center" wrapText="1"/>
    </xf>
    <xf numFmtId="0" fontId="0" fillId="13" borderId="0" xfId="0" applyFill="1" applyAlignment="1">
      <alignment horizontal="center"/>
    </xf>
    <xf numFmtId="21" fontId="0" fillId="13" borderId="19" xfId="0" applyNumberFormat="1" applyFill="1" applyBorder="1" applyAlignment="1">
      <alignment horizontal="center" vertical="center" wrapText="1"/>
    </xf>
    <xf numFmtId="0" fontId="5" fillId="0" borderId="58" xfId="1" applyBorder="1" applyAlignment="1">
      <alignment vertical="center" readingOrder="1"/>
    </xf>
    <xf numFmtId="0" fontId="5" fillId="10" borderId="56" xfId="1" applyFill="1" applyBorder="1" applyAlignment="1">
      <alignment horizontal="center" vertical="center" readingOrder="1"/>
    </xf>
    <xf numFmtId="0" fontId="5" fillId="10" borderId="54" xfId="1" applyFill="1" applyBorder="1" applyAlignment="1">
      <alignment horizontal="center" vertical="center" readingOrder="1"/>
    </xf>
    <xf numFmtId="0" fontId="5" fillId="10" borderId="63" xfId="1" applyFill="1" applyBorder="1" applyAlignment="1">
      <alignment horizontal="center" vertical="center" readingOrder="1"/>
    </xf>
    <xf numFmtId="0" fontId="0" fillId="13" borderId="0" xfId="0" applyFill="1"/>
    <xf numFmtId="0" fontId="5" fillId="23" borderId="4" xfId="1" applyFill="1" applyBorder="1" applyAlignment="1">
      <alignment horizontal="center" vertical="center"/>
    </xf>
    <xf numFmtId="0" fontId="8" fillId="4" borderId="1" xfId="0" applyFont="1" applyFill="1" applyBorder="1" applyAlignment="1">
      <alignment horizontal="center" vertical="center" readingOrder="1"/>
    </xf>
    <xf numFmtId="0" fontId="8" fillId="3" borderId="0" xfId="0" applyFont="1" applyFill="1" applyAlignment="1">
      <alignment horizontal="center" vertical="center"/>
    </xf>
    <xf numFmtId="0" fontId="8" fillId="4" borderId="70" xfId="0" applyFont="1" applyFill="1" applyBorder="1" applyAlignment="1">
      <alignment horizontal="center" vertical="center" wrapText="1" readingOrder="1"/>
    </xf>
    <xf numFmtId="0" fontId="0" fillId="0" borderId="14" xfId="0" applyBorder="1"/>
    <xf numFmtId="0" fontId="0" fillId="0" borderId="14" xfId="0" applyBorder="1" applyAlignment="1">
      <alignment horizontal="center"/>
    </xf>
    <xf numFmtId="0" fontId="0" fillId="0" borderId="14" xfId="0" applyBorder="1" applyAlignment="1">
      <alignment wrapText="1"/>
    </xf>
    <xf numFmtId="0" fontId="8" fillId="4" borderId="70" xfId="0" applyFont="1" applyFill="1" applyBorder="1" applyAlignment="1">
      <alignment horizontal="center" vertical="center" readingOrder="1"/>
    </xf>
    <xf numFmtId="0" fontId="0" fillId="0" borderId="14" xfId="0" applyBorder="1" applyAlignment="1">
      <alignment horizontal="center" vertical="center"/>
    </xf>
    <xf numFmtId="164" fontId="1" fillId="13" borderId="2" xfId="0" applyNumberFormat="1" applyFont="1" applyFill="1" applyBorder="1" applyAlignment="1">
      <alignment horizontal="center" vertical="center"/>
    </xf>
    <xf numFmtId="0" fontId="19" fillId="0" borderId="4" xfId="1" applyFont="1" applyBorder="1" applyAlignment="1">
      <alignment horizontal="center" vertical="center"/>
    </xf>
    <xf numFmtId="0" fontId="5" fillId="0" borderId="14" xfId="1" applyBorder="1" applyAlignment="1">
      <alignment horizontal="center" vertical="center"/>
    </xf>
    <xf numFmtId="0" fontId="17" fillId="0" borderId="0" xfId="0" applyFont="1"/>
    <xf numFmtId="0" fontId="17" fillId="0" borderId="14" xfId="0" applyFont="1" applyBorder="1"/>
    <xf numFmtId="0" fontId="0" fillId="0" borderId="33" xfId="0" applyBorder="1" applyAlignment="1">
      <alignment horizontal="center" vertical="center"/>
    </xf>
    <xf numFmtId="0" fontId="0" fillId="0" borderId="62" xfId="0" applyBorder="1"/>
    <xf numFmtId="0" fontId="0" fillId="0" borderId="74" xfId="0" applyBorder="1" applyAlignment="1">
      <alignment wrapText="1"/>
    </xf>
    <xf numFmtId="0" fontId="0" fillId="22" borderId="0" xfId="0" applyFill="1"/>
    <xf numFmtId="0" fontId="25" fillId="22" borderId="0" xfId="0" applyFont="1" applyFill="1" applyAlignment="1">
      <alignment vertical="center"/>
    </xf>
    <xf numFmtId="0" fontId="34" fillId="22" borderId="0" xfId="0" applyFont="1" applyFill="1"/>
    <xf numFmtId="21" fontId="12" fillId="0" borderId="0" xfId="0" applyNumberFormat="1" applyFont="1"/>
    <xf numFmtId="164" fontId="1" fillId="12" borderId="10" xfId="0" applyNumberFormat="1" applyFont="1" applyFill="1" applyBorder="1" applyAlignment="1">
      <alignment horizontal="center" vertical="center"/>
    </xf>
    <xf numFmtId="0" fontId="23" fillId="9" borderId="16" xfId="0" applyFont="1" applyFill="1" applyBorder="1" applyAlignment="1">
      <alignment vertical="center"/>
    </xf>
    <xf numFmtId="0" fontId="23" fillId="9" borderId="0" xfId="0" applyFont="1" applyFill="1" applyAlignment="1">
      <alignment vertical="center"/>
    </xf>
    <xf numFmtId="0" fontId="8" fillId="21" borderId="29" xfId="0" applyFont="1" applyFill="1" applyBorder="1" applyAlignment="1">
      <alignment horizontal="center" vertical="center" readingOrder="1"/>
    </xf>
    <xf numFmtId="0" fontId="3" fillId="8" borderId="5" xfId="0" applyFont="1" applyFill="1" applyBorder="1" applyAlignment="1">
      <alignment horizontal="center" vertical="center" readingOrder="1"/>
    </xf>
    <xf numFmtId="0" fontId="32" fillId="0" borderId="75" xfId="0" applyFont="1" applyBorder="1" applyAlignment="1">
      <alignment horizontal="center" vertical="center" wrapText="1"/>
    </xf>
    <xf numFmtId="0" fontId="5" fillId="10" borderId="76" xfId="1" applyFill="1" applyBorder="1" applyAlignment="1">
      <alignment horizontal="center" readingOrder="1"/>
    </xf>
    <xf numFmtId="0" fontId="5" fillId="10" borderId="77" xfId="1" applyFill="1" applyBorder="1" applyAlignment="1">
      <alignment horizontal="center" readingOrder="1"/>
    </xf>
    <xf numFmtId="0" fontId="5" fillId="10" borderId="78" xfId="1" applyFill="1" applyBorder="1" applyAlignment="1">
      <alignment horizontal="center" readingOrder="1"/>
    </xf>
    <xf numFmtId="0" fontId="5" fillId="10" borderId="79" xfId="1" applyFill="1" applyBorder="1" applyAlignment="1">
      <alignment horizontal="center" readingOrder="1"/>
    </xf>
    <xf numFmtId="0" fontId="5" fillId="10" borderId="80" xfId="1" applyFill="1" applyBorder="1" applyAlignment="1">
      <alignment horizontal="center" readingOrder="1"/>
    </xf>
    <xf numFmtId="0" fontId="10" fillId="0" borderId="4" xfId="0" applyFont="1" applyBorder="1" applyAlignment="1">
      <alignment horizontal="left" vertical="center"/>
    </xf>
    <xf numFmtId="0" fontId="10" fillId="0" borderId="4" xfId="0" applyFont="1" applyBorder="1" applyAlignment="1">
      <alignment horizontal="left" vertical="center" wrapText="1"/>
    </xf>
    <xf numFmtId="0" fontId="8" fillId="10" borderId="20" xfId="0" applyFont="1" applyFill="1" applyBorder="1" applyAlignment="1">
      <alignment horizontal="center" vertical="center" readingOrder="1"/>
    </xf>
    <xf numFmtId="0" fontId="3" fillId="3" borderId="26" xfId="0" applyFont="1" applyFill="1" applyBorder="1" applyAlignment="1">
      <alignment readingOrder="1"/>
    </xf>
    <xf numFmtId="0" fontId="3" fillId="0" borderId="26" xfId="0" applyFont="1" applyBorder="1" applyAlignment="1">
      <alignment readingOrder="1"/>
    </xf>
    <xf numFmtId="0" fontId="3" fillId="8" borderId="0" xfId="0" applyFont="1" applyFill="1" applyAlignment="1">
      <alignment vertical="center" wrapText="1" readingOrder="1"/>
    </xf>
    <xf numFmtId="21" fontId="12" fillId="13" borderId="2" xfId="0" applyNumberFormat="1" applyFont="1" applyFill="1" applyBorder="1" applyAlignment="1">
      <alignment horizontal="center" vertical="center" readingOrder="1"/>
    </xf>
    <xf numFmtId="0" fontId="14" fillId="15" borderId="0" xfId="0" applyFont="1" applyFill="1" applyAlignment="1">
      <alignment vertical="center" readingOrder="1"/>
    </xf>
    <xf numFmtId="0" fontId="37" fillId="10" borderId="4" xfId="0" applyFont="1" applyFill="1" applyBorder="1" applyAlignment="1">
      <alignment horizontal="left" vertical="center" wrapText="1"/>
    </xf>
    <xf numFmtId="0" fontId="20" fillId="0" borderId="0" xfId="0" applyFont="1" applyAlignment="1">
      <alignment horizontal="left" vertical="center"/>
    </xf>
    <xf numFmtId="0" fontId="1" fillId="0" borderId="2" xfId="1" applyFont="1" applyBorder="1" applyAlignment="1">
      <alignment horizontal="center" vertical="center" wrapText="1"/>
    </xf>
    <xf numFmtId="0" fontId="1" fillId="0" borderId="2" xfId="0" applyFont="1" applyBorder="1" applyAlignment="1">
      <alignment vertical="center"/>
    </xf>
    <xf numFmtId="0" fontId="41" fillId="4" borderId="70" xfId="0" applyFont="1" applyFill="1" applyBorder="1" applyAlignment="1">
      <alignment horizontal="center" vertical="center" readingOrder="1"/>
    </xf>
    <xf numFmtId="0" fontId="0" fillId="0" borderId="81" xfId="0" applyBorder="1"/>
    <xf numFmtId="0" fontId="0" fillId="0" borderId="82" xfId="0" applyBorder="1"/>
    <xf numFmtId="0" fontId="0" fillId="0" borderId="83" xfId="0" applyBorder="1"/>
    <xf numFmtId="0" fontId="0" fillId="0" borderId="84" xfId="0" applyBorder="1"/>
    <xf numFmtId="0" fontId="0" fillId="0" borderId="85" xfId="0" applyBorder="1"/>
    <xf numFmtId="0" fontId="0" fillId="0" borderId="2" xfId="0" applyBorder="1"/>
    <xf numFmtId="0" fontId="9" fillId="10" borderId="2" xfId="0" applyFont="1" applyFill="1" applyBorder="1" applyAlignment="1">
      <alignment horizontal="center" vertical="center" wrapText="1"/>
    </xf>
    <xf numFmtId="0" fontId="5" fillId="0" borderId="10" xfId="1" applyBorder="1" applyAlignment="1">
      <alignment horizontal="center" vertical="center"/>
    </xf>
    <xf numFmtId="0" fontId="3" fillId="4" borderId="70" xfId="0" applyFont="1" applyFill="1" applyBorder="1" applyAlignment="1">
      <alignment horizontal="center" vertical="center" readingOrder="1"/>
    </xf>
    <xf numFmtId="0" fontId="5" fillId="0" borderId="20" xfId="1" applyBorder="1" applyAlignment="1">
      <alignment horizontal="center" vertical="center"/>
    </xf>
    <xf numFmtId="0" fontId="9" fillId="10" borderId="2" xfId="0" applyFont="1" applyFill="1" applyBorder="1" applyAlignment="1">
      <alignment horizontal="left" vertical="center" wrapText="1"/>
    </xf>
    <xf numFmtId="0" fontId="9" fillId="10" borderId="3" xfId="0" applyFont="1" applyFill="1" applyBorder="1" applyAlignment="1">
      <alignment horizontal="left" vertical="center" wrapText="1"/>
    </xf>
    <xf numFmtId="0" fontId="9" fillId="10" borderId="6" xfId="0" applyFont="1" applyFill="1" applyBorder="1" applyAlignment="1">
      <alignment horizontal="left" vertical="center" wrapText="1"/>
    </xf>
    <xf numFmtId="0" fontId="41" fillId="4" borderId="2" xfId="0" applyFont="1" applyFill="1" applyBorder="1" applyAlignment="1">
      <alignment horizontal="center" vertical="center" readingOrder="1"/>
    </xf>
    <xf numFmtId="0" fontId="40" fillId="0" borderId="0" xfId="0" applyFont="1" applyAlignment="1">
      <alignment horizontal="center"/>
    </xf>
    <xf numFmtId="0" fontId="0" fillId="12" borderId="2" xfId="0" applyFill="1" applyBorder="1" applyAlignment="1">
      <alignment horizontal="center" vertical="center" wrapText="1"/>
    </xf>
    <xf numFmtId="0" fontId="39" fillId="0" borderId="0" xfId="0" applyFont="1" applyAlignment="1">
      <alignment horizontal="left" vertical="center"/>
    </xf>
    <xf numFmtId="0" fontId="1" fillId="12" borderId="2" xfId="0" applyFont="1" applyFill="1" applyBorder="1" applyAlignment="1">
      <alignment horizontal="center" vertical="center" wrapText="1"/>
    </xf>
    <xf numFmtId="0" fontId="0" fillId="6" borderId="7" xfId="0" applyFill="1" applyBorder="1" applyAlignment="1">
      <alignment horizontal="center" vertical="center"/>
    </xf>
    <xf numFmtId="0" fontId="0" fillId="0" borderId="9" xfId="0" applyBorder="1" applyAlignment="1">
      <alignment horizontal="center" vertical="center"/>
    </xf>
    <xf numFmtId="0" fontId="39" fillId="0" borderId="0" xfId="0" applyFont="1"/>
    <xf numFmtId="0" fontId="7" fillId="10" borderId="4" xfId="0" applyFont="1" applyFill="1" applyBorder="1" applyAlignment="1">
      <alignment horizontal="left" vertical="top" wrapText="1"/>
    </xf>
    <xf numFmtId="0" fontId="17" fillId="13" borderId="69" xfId="0" applyFont="1" applyFill="1" applyBorder="1" applyAlignment="1">
      <alignment horizontal="center" vertical="center" readingOrder="1"/>
    </xf>
    <xf numFmtId="0" fontId="0" fillId="14" borderId="8" xfId="0" applyFill="1" applyBorder="1" applyAlignment="1">
      <alignment horizontal="center" vertical="center" wrapText="1"/>
    </xf>
    <xf numFmtId="0" fontId="3" fillId="8" borderId="0" xfId="0" applyFont="1" applyFill="1" applyAlignment="1">
      <alignment horizontal="center" vertical="center" readingOrder="1"/>
    </xf>
    <xf numFmtId="0" fontId="8" fillId="10" borderId="0" xfId="0" applyFont="1" applyFill="1" applyAlignment="1">
      <alignment horizontal="center" vertical="center" readingOrder="1"/>
    </xf>
    <xf numFmtId="0" fontId="12" fillId="13" borderId="69" xfId="0" applyFont="1" applyFill="1" applyBorder="1" applyAlignment="1">
      <alignment horizontal="center" vertical="center" readingOrder="1"/>
    </xf>
    <xf numFmtId="0" fontId="7" fillId="13" borderId="66" xfId="0" applyFont="1" applyFill="1" applyBorder="1" applyAlignment="1">
      <alignment horizontal="center" vertical="center"/>
    </xf>
    <xf numFmtId="0" fontId="7" fillId="13" borderId="0" xfId="0" applyFont="1" applyFill="1" applyAlignment="1">
      <alignment horizontal="center" vertical="center"/>
    </xf>
    <xf numFmtId="0" fontId="7" fillId="13" borderId="24" xfId="0" applyFont="1" applyFill="1" applyBorder="1" applyAlignment="1">
      <alignment horizontal="center" vertical="center"/>
    </xf>
    <xf numFmtId="0" fontId="7" fillId="13" borderId="67" xfId="0" applyFont="1" applyFill="1" applyBorder="1" applyAlignment="1">
      <alignment horizontal="center" vertical="center"/>
    </xf>
    <xf numFmtId="0" fontId="7" fillId="13" borderId="4" xfId="0" applyFont="1" applyFill="1" applyBorder="1" applyAlignment="1">
      <alignment horizontal="center" vertical="center" wrapText="1"/>
    </xf>
    <xf numFmtId="0" fontId="5" fillId="10" borderId="4" xfId="1" applyFill="1" applyBorder="1" applyAlignment="1">
      <alignment horizontal="center" vertical="center" wrapText="1"/>
    </xf>
    <xf numFmtId="0" fontId="0" fillId="13" borderId="0" xfId="0" applyFill="1" applyAlignment="1">
      <alignment horizontal="center" vertical="center"/>
    </xf>
    <xf numFmtId="0" fontId="5" fillId="23" borderId="0" xfId="1" applyFill="1"/>
    <xf numFmtId="0" fontId="9" fillId="13" borderId="0" xfId="0" applyFont="1" applyFill="1" applyAlignment="1">
      <alignment horizontal="center" vertical="center"/>
    </xf>
    <xf numFmtId="0" fontId="5" fillId="20" borderId="0" xfId="1" applyFill="1" applyAlignment="1">
      <alignment horizontal="center" vertical="center"/>
    </xf>
    <xf numFmtId="0" fontId="12" fillId="0" borderId="0" xfId="0" applyFont="1" applyAlignment="1">
      <alignment vertical="center" wrapText="1"/>
    </xf>
    <xf numFmtId="0" fontId="12" fillId="0" borderId="0" xfId="0" applyFont="1" applyAlignment="1">
      <alignment vertical="center"/>
    </xf>
    <xf numFmtId="0" fontId="0" fillId="0" borderId="86" xfId="0" applyBorder="1"/>
    <xf numFmtId="0" fontId="0" fillId="0" borderId="87" xfId="0" applyBorder="1"/>
    <xf numFmtId="0" fontId="7" fillId="8" borderId="4" xfId="0" applyFont="1" applyFill="1" applyBorder="1" applyAlignment="1">
      <alignment vertical="center" wrapText="1"/>
    </xf>
    <xf numFmtId="0" fontId="0" fillId="8" borderId="14" xfId="0" applyFill="1" applyBorder="1"/>
    <xf numFmtId="0" fontId="5" fillId="13" borderId="4" xfId="1" applyFill="1" applyBorder="1" applyAlignment="1">
      <alignment vertical="center" wrapText="1"/>
    </xf>
    <xf numFmtId="0" fontId="46" fillId="4" borderId="1" xfId="0" applyFont="1" applyFill="1" applyBorder="1" applyAlignment="1">
      <alignment horizontal="center" vertical="center" wrapText="1" readingOrder="1"/>
    </xf>
    <xf numFmtId="0" fontId="47" fillId="0" borderId="0" xfId="1" applyFont="1" applyAlignment="1">
      <alignment horizontal="center"/>
    </xf>
    <xf numFmtId="0" fontId="7" fillId="8" borderId="4" xfId="0" applyFont="1" applyFill="1" applyBorder="1" applyAlignment="1">
      <alignment horizontal="center" vertical="center" wrapText="1"/>
    </xf>
    <xf numFmtId="0" fontId="1" fillId="0" borderId="14" xfId="0" applyFont="1" applyBorder="1" applyAlignment="1">
      <alignment horizontal="center"/>
    </xf>
    <xf numFmtId="0" fontId="1" fillId="13" borderId="9" xfId="0" applyFont="1" applyFill="1" applyBorder="1" applyAlignment="1">
      <alignment horizontal="center" vertical="center" wrapText="1"/>
    </xf>
    <xf numFmtId="0" fontId="6" fillId="13" borderId="0" xfId="0" applyFont="1" applyFill="1" applyAlignment="1">
      <alignment horizontal="center" vertical="center"/>
    </xf>
    <xf numFmtId="0" fontId="1" fillId="13" borderId="0" xfId="0" applyFont="1" applyFill="1" applyAlignment="1">
      <alignment horizontal="center" vertical="center"/>
    </xf>
    <xf numFmtId="0" fontId="8" fillId="8" borderId="0" xfId="0" applyFont="1" applyFill="1" applyAlignment="1">
      <alignment horizontal="center" vertical="center" readingOrder="1"/>
    </xf>
    <xf numFmtId="0" fontId="5" fillId="0" borderId="0" xfId="1" applyBorder="1" applyAlignment="1">
      <alignment horizontal="center" vertical="center" wrapText="1"/>
    </xf>
    <xf numFmtId="0" fontId="10" fillId="28" borderId="0" xfId="0" applyFont="1" applyFill="1" applyAlignment="1">
      <alignment horizontal="center" vertical="center"/>
    </xf>
    <xf numFmtId="20" fontId="0" fillId="0" borderId="14" xfId="0" applyNumberFormat="1" applyBorder="1"/>
    <xf numFmtId="20" fontId="0" fillId="0" borderId="14" xfId="0" applyNumberFormat="1" applyBorder="1" applyAlignment="1">
      <alignment horizontal="center"/>
    </xf>
    <xf numFmtId="0" fontId="3" fillId="8" borderId="25" xfId="0" applyFont="1" applyFill="1" applyBorder="1" applyAlignment="1">
      <alignment horizontal="center" vertical="center" readingOrder="1"/>
    </xf>
    <xf numFmtId="0" fontId="7" fillId="13" borderId="4" xfId="0" applyFont="1" applyFill="1" applyBorder="1" applyAlignment="1">
      <alignment vertical="top" wrapText="1"/>
    </xf>
    <xf numFmtId="0" fontId="3" fillId="4" borderId="1" xfId="0" applyFont="1" applyFill="1" applyBorder="1" applyAlignment="1">
      <alignment vertical="center" readingOrder="1"/>
    </xf>
    <xf numFmtId="0" fontId="5" fillId="0" borderId="0" xfId="1" applyAlignment="1"/>
    <xf numFmtId="0" fontId="8" fillId="8" borderId="10" xfId="0" applyFont="1" applyFill="1" applyBorder="1" applyAlignment="1">
      <alignment horizontal="center" vertical="center" readingOrder="1"/>
    </xf>
    <xf numFmtId="0" fontId="3" fillId="8" borderId="10" xfId="0" applyFont="1" applyFill="1" applyBorder="1" applyAlignment="1">
      <alignment horizontal="center" vertical="center" readingOrder="1"/>
    </xf>
    <xf numFmtId="0" fontId="5" fillId="0" borderId="79" xfId="1" applyBorder="1" applyAlignment="1">
      <alignment readingOrder="1"/>
    </xf>
    <xf numFmtId="0" fontId="5" fillId="0" borderId="78" xfId="1" applyBorder="1" applyAlignment="1">
      <alignment readingOrder="1"/>
    </xf>
    <xf numFmtId="0" fontId="5" fillId="0" borderId="80" xfId="1" applyBorder="1" applyAlignment="1">
      <alignment readingOrder="1"/>
    </xf>
    <xf numFmtId="0" fontId="14" fillId="0" borderId="101" xfId="0" applyFont="1" applyBorder="1" applyAlignment="1">
      <alignment wrapText="1" readingOrder="1"/>
    </xf>
    <xf numFmtId="0" fontId="14" fillId="0" borderId="102" xfId="0" applyFont="1" applyBorder="1" applyAlignment="1">
      <alignment wrapText="1" readingOrder="1"/>
    </xf>
    <xf numFmtId="0" fontId="14" fillId="0" borderId="103" xfId="0" applyFont="1" applyBorder="1" applyAlignment="1">
      <alignment wrapText="1" readingOrder="1"/>
    </xf>
    <xf numFmtId="0" fontId="12" fillId="13" borderId="68" xfId="0" applyFont="1" applyFill="1" applyBorder="1" applyAlignment="1">
      <alignment horizontal="center" vertical="center" readingOrder="1"/>
    </xf>
    <xf numFmtId="0" fontId="12" fillId="13" borderId="55" xfId="0" applyFont="1" applyFill="1" applyBorder="1" applyAlignment="1">
      <alignment horizontal="center" vertical="center" readingOrder="1"/>
    </xf>
    <xf numFmtId="0" fontId="1" fillId="22" borderId="2" xfId="0" applyFont="1" applyFill="1" applyBorder="1" applyAlignment="1">
      <alignment horizontal="center" vertical="center" wrapText="1"/>
    </xf>
    <xf numFmtId="0" fontId="47" fillId="13" borderId="0" xfId="1" applyFont="1" applyFill="1" applyAlignment="1">
      <alignment horizontal="center"/>
    </xf>
    <xf numFmtId="0" fontId="8" fillId="8" borderId="3" xfId="0" applyFont="1" applyFill="1" applyBorder="1" applyAlignment="1">
      <alignment horizontal="center" vertical="center" readingOrder="1"/>
    </xf>
    <xf numFmtId="0" fontId="8" fillId="8" borderId="6" xfId="0" applyFont="1" applyFill="1" applyBorder="1" applyAlignment="1">
      <alignment horizontal="center" vertical="center" readingOrder="1"/>
    </xf>
    <xf numFmtId="0" fontId="11" fillId="12" borderId="2" xfId="0" applyFont="1" applyFill="1" applyBorder="1" applyAlignment="1">
      <alignment horizontal="center" vertical="center" wrapText="1"/>
    </xf>
    <xf numFmtId="0" fontId="11" fillId="22" borderId="2" xfId="0" applyFont="1" applyFill="1" applyBorder="1" applyAlignment="1">
      <alignment horizontal="center" vertical="center" wrapText="1"/>
    </xf>
    <xf numFmtId="0" fontId="17" fillId="0" borderId="0" xfId="0" applyFont="1" applyAlignment="1">
      <alignment vertical="center"/>
    </xf>
    <xf numFmtId="0" fontId="17" fillId="26" borderId="14" xfId="0" applyFont="1" applyFill="1" applyBorder="1" applyAlignment="1">
      <alignment vertical="center" readingOrder="1"/>
    </xf>
    <xf numFmtId="0" fontId="45" fillId="30" borderId="78" xfId="0" applyFont="1" applyFill="1" applyBorder="1" applyAlignment="1">
      <alignment vertical="center" readingOrder="1"/>
    </xf>
    <xf numFmtId="0" fontId="3" fillId="4" borderId="1" xfId="0" applyFont="1" applyFill="1" applyBorder="1" applyAlignment="1">
      <alignment horizontal="left" vertical="center" wrapText="1" readingOrder="1"/>
    </xf>
    <xf numFmtId="0" fontId="0" fillId="9" borderId="0" xfId="0" applyFill="1" applyAlignment="1">
      <alignment horizontal="left" vertical="center"/>
    </xf>
    <xf numFmtId="0" fontId="7" fillId="0" borderId="4" xfId="0" applyFont="1" applyBorder="1" applyAlignment="1">
      <alignment horizontal="left" vertical="center" wrapText="1"/>
    </xf>
    <xf numFmtId="0" fontId="12" fillId="0" borderId="0" xfId="0" applyFont="1" applyAlignment="1">
      <alignment horizontal="left" vertical="center"/>
    </xf>
    <xf numFmtId="0" fontId="5" fillId="0" borderId="0" xfId="1" applyAlignment="1">
      <alignment horizontal="left" vertical="center"/>
    </xf>
    <xf numFmtId="0" fontId="5" fillId="10" borderId="4" xfId="1" applyFill="1" applyBorder="1" applyAlignment="1">
      <alignment horizontal="left" vertical="center"/>
    </xf>
    <xf numFmtId="0" fontId="5" fillId="0" borderId="4" xfId="1" applyBorder="1" applyAlignment="1">
      <alignment horizontal="left" vertical="center"/>
    </xf>
    <xf numFmtId="0" fontId="35" fillId="0" borderId="0" xfId="0" applyFont="1" applyAlignment="1">
      <alignment horizontal="left" vertical="center"/>
    </xf>
    <xf numFmtId="0" fontId="13" fillId="0" borderId="80" xfId="0" applyFont="1" applyBorder="1" applyAlignment="1">
      <alignment readingOrder="1"/>
    </xf>
    <xf numFmtId="0" fontId="14" fillId="0" borderId="106" xfId="0" applyFont="1" applyBorder="1" applyAlignment="1">
      <alignment wrapText="1" readingOrder="1"/>
    </xf>
    <xf numFmtId="0" fontId="14" fillId="0" borderId="40" xfId="0" applyFont="1" applyBorder="1" applyAlignment="1">
      <alignment wrapText="1" readingOrder="1"/>
    </xf>
    <xf numFmtId="0" fontId="14" fillId="18" borderId="111" xfId="0" applyFont="1" applyFill="1" applyBorder="1" applyAlignment="1">
      <alignment readingOrder="1"/>
    </xf>
    <xf numFmtId="0" fontId="14" fillId="0" borderId="106" xfId="0" applyFont="1" applyBorder="1" applyAlignment="1">
      <alignment vertical="center" wrapText="1" readingOrder="1"/>
    </xf>
    <xf numFmtId="0" fontId="14" fillId="0" borderId="40" xfId="0" applyFont="1" applyBorder="1" applyAlignment="1">
      <alignment vertical="center" wrapText="1" readingOrder="1"/>
    </xf>
    <xf numFmtId="0" fontId="14" fillId="0" borderId="110" xfId="0" applyFont="1" applyBorder="1" applyAlignment="1">
      <alignment vertical="center" wrapText="1" readingOrder="1"/>
    </xf>
    <xf numFmtId="0" fontId="14" fillId="18" borderId="111" xfId="0" applyFont="1" applyFill="1" applyBorder="1" applyAlignment="1">
      <alignment vertical="center" readingOrder="1"/>
    </xf>
    <xf numFmtId="0" fontId="14" fillId="0" borderId="112" xfId="0" applyFont="1" applyBorder="1" applyAlignment="1">
      <alignment vertical="center" wrapText="1" readingOrder="1"/>
    </xf>
    <xf numFmtId="0" fontId="23" fillId="9" borderId="0" xfId="0" applyFont="1" applyFill="1" applyAlignment="1">
      <alignment horizontal="center" vertical="center"/>
    </xf>
    <xf numFmtId="0" fontId="5" fillId="0" borderId="79" xfId="1" applyBorder="1" applyAlignment="1">
      <alignment horizontal="center" readingOrder="1"/>
    </xf>
    <xf numFmtId="0" fontId="5" fillId="0" borderId="80" xfId="1" applyBorder="1" applyAlignment="1">
      <alignment horizontal="center" readingOrder="1"/>
    </xf>
    <xf numFmtId="0" fontId="5" fillId="0" borderId="78" xfId="1" applyBorder="1" applyAlignment="1">
      <alignment horizontal="center" readingOrder="1"/>
    </xf>
    <xf numFmtId="0" fontId="5" fillId="10" borderId="115" xfId="1" applyFill="1" applyBorder="1" applyAlignment="1">
      <alignment readingOrder="1"/>
    </xf>
    <xf numFmtId="0" fontId="13" fillId="7" borderId="116" xfId="0" applyFont="1" applyFill="1" applyBorder="1" applyAlignment="1">
      <alignment readingOrder="1"/>
    </xf>
    <xf numFmtId="0" fontId="5" fillId="10" borderId="119" xfId="1" applyFill="1" applyBorder="1" applyAlignment="1">
      <alignment readingOrder="1"/>
    </xf>
    <xf numFmtId="0" fontId="13" fillId="7" borderId="120" xfId="0" applyFont="1" applyFill="1" applyBorder="1" applyAlignment="1">
      <alignment readingOrder="1"/>
    </xf>
    <xf numFmtId="0" fontId="5" fillId="10" borderId="122" xfId="1" applyFill="1" applyBorder="1" applyAlignment="1">
      <alignment readingOrder="1"/>
    </xf>
    <xf numFmtId="0" fontId="14" fillId="0" borderId="123" xfId="0" applyFont="1" applyBorder="1" applyAlignment="1">
      <alignment wrapText="1" readingOrder="1"/>
    </xf>
    <xf numFmtId="0" fontId="5" fillId="10" borderId="124" xfId="1" applyFill="1" applyBorder="1" applyAlignment="1">
      <alignment readingOrder="1"/>
    </xf>
    <xf numFmtId="0" fontId="13" fillId="7" borderId="97" xfId="0" applyFont="1" applyFill="1" applyBorder="1" applyAlignment="1">
      <alignment readingOrder="1"/>
    </xf>
    <xf numFmtId="0" fontId="0" fillId="14" borderId="0" xfId="0" applyFill="1" applyAlignment="1">
      <alignment horizontal="center"/>
    </xf>
    <xf numFmtId="0" fontId="5" fillId="27" borderId="0" xfId="1" applyFill="1" applyAlignment="1">
      <alignment horizontal="center" vertical="center"/>
    </xf>
    <xf numFmtId="0" fontId="49" fillId="0" borderId="0" xfId="0" applyFont="1"/>
    <xf numFmtId="0" fontId="13" fillId="0" borderId="80" xfId="0" applyFont="1" applyBorder="1" applyAlignment="1">
      <alignment horizontal="center" readingOrder="1"/>
    </xf>
    <xf numFmtId="0" fontId="45" fillId="13" borderId="2" xfId="0" applyFont="1" applyFill="1" applyBorder="1" applyAlignment="1">
      <alignment horizontal="center" vertical="center" wrapText="1" readingOrder="1"/>
    </xf>
    <xf numFmtId="0" fontId="8" fillId="4" borderId="26" xfId="0" applyFont="1" applyFill="1" applyBorder="1" applyAlignment="1">
      <alignment horizontal="left" vertical="top" readingOrder="1"/>
    </xf>
    <xf numFmtId="0" fontId="0" fillId="0" borderId="0" xfId="0" applyAlignment="1">
      <alignment horizontal="left" vertical="top"/>
    </xf>
    <xf numFmtId="0" fontId="0" fillId="0" borderId="0" xfId="0" applyAlignment="1">
      <alignment horizontal="left" vertical="top" wrapText="1"/>
    </xf>
    <xf numFmtId="0" fontId="25" fillId="9" borderId="16" xfId="0" applyFont="1" applyFill="1" applyBorder="1" applyAlignment="1">
      <alignment horizontal="left" vertical="top"/>
    </xf>
    <xf numFmtId="0" fontId="25" fillId="10" borderId="48" xfId="0" applyFont="1" applyFill="1" applyBorder="1" applyAlignment="1">
      <alignment horizontal="left" vertical="top" readingOrder="1"/>
    </xf>
    <xf numFmtId="0" fontId="25" fillId="10" borderId="49" xfId="0" applyFont="1" applyFill="1" applyBorder="1" applyAlignment="1">
      <alignment horizontal="left" vertical="top" readingOrder="1"/>
    </xf>
    <xf numFmtId="0" fontId="25" fillId="0" borderId="49" xfId="0" applyFont="1" applyBorder="1" applyAlignment="1">
      <alignment horizontal="left" vertical="top" readingOrder="1"/>
    </xf>
    <xf numFmtId="0" fontId="25" fillId="0" borderId="50" xfId="0" applyFont="1" applyBorder="1" applyAlignment="1">
      <alignment horizontal="left" vertical="top" readingOrder="1"/>
    </xf>
    <xf numFmtId="0" fontId="25" fillId="9" borderId="7" xfId="0" applyFont="1" applyFill="1" applyBorder="1" applyAlignment="1">
      <alignment horizontal="left" vertical="top"/>
    </xf>
    <xf numFmtId="0" fontId="25" fillId="0" borderId="0" xfId="0" applyFont="1" applyAlignment="1">
      <alignment horizontal="left" vertical="top"/>
    </xf>
    <xf numFmtId="0" fontId="25" fillId="0" borderId="0" xfId="0" applyFont="1" applyAlignment="1">
      <alignment horizontal="left" vertical="top" wrapText="1"/>
    </xf>
    <xf numFmtId="0" fontId="0" fillId="10" borderId="65" xfId="0" applyFill="1" applyBorder="1" applyAlignment="1">
      <alignment horizontal="left" vertical="top" wrapText="1"/>
    </xf>
    <xf numFmtId="0" fontId="1" fillId="0" borderId="0" xfId="0" applyFont="1" applyAlignment="1">
      <alignment horizontal="left" vertical="top" wrapText="1"/>
    </xf>
    <xf numFmtId="0" fontId="1" fillId="25" borderId="0" xfId="0" applyFont="1" applyFill="1" applyAlignment="1">
      <alignment horizontal="left" vertical="top" wrapText="1"/>
    </xf>
    <xf numFmtId="0" fontId="12" fillId="10" borderId="76" xfId="0" applyFont="1" applyFill="1" applyBorder="1" applyAlignment="1">
      <alignment horizontal="left" vertical="top" readingOrder="1"/>
    </xf>
    <xf numFmtId="0" fontId="12" fillId="10" borderId="77" xfId="0" applyFont="1" applyFill="1" applyBorder="1" applyAlignment="1">
      <alignment horizontal="left" vertical="top" readingOrder="1"/>
    </xf>
    <xf numFmtId="0" fontId="12" fillId="10" borderId="78" xfId="0" applyFont="1" applyFill="1" applyBorder="1" applyAlignment="1">
      <alignment horizontal="left" vertical="top" readingOrder="1"/>
    </xf>
    <xf numFmtId="0" fontId="23" fillId="9" borderId="0" xfId="0" applyFont="1" applyFill="1" applyAlignment="1">
      <alignment horizontal="left" vertical="top"/>
    </xf>
    <xf numFmtId="0" fontId="12" fillId="10" borderId="79" xfId="0" applyFont="1" applyFill="1" applyBorder="1" applyAlignment="1">
      <alignment horizontal="left" vertical="top" wrapText="1" readingOrder="1"/>
    </xf>
    <xf numFmtId="0" fontId="12" fillId="10" borderId="80" xfId="0" applyFont="1" applyFill="1" applyBorder="1" applyAlignment="1">
      <alignment horizontal="left" vertical="top" wrapText="1" readingOrder="1"/>
    </xf>
    <xf numFmtId="0" fontId="12" fillId="10" borderId="78" xfId="0" applyFont="1" applyFill="1" applyBorder="1" applyAlignment="1">
      <alignment horizontal="left" vertical="top" wrapText="1" readingOrder="1"/>
    </xf>
    <xf numFmtId="0" fontId="29" fillId="0" borderId="0" xfId="0" applyFont="1" applyAlignment="1">
      <alignment horizontal="left" vertical="top"/>
    </xf>
    <xf numFmtId="0" fontId="30" fillId="0" borderId="0" xfId="0" applyFont="1" applyAlignment="1">
      <alignment horizontal="left" vertical="top"/>
    </xf>
    <xf numFmtId="0" fontId="12" fillId="0" borderId="94" xfId="0" applyFont="1" applyBorder="1" applyAlignment="1">
      <alignment horizontal="left" vertical="top" wrapText="1" readingOrder="1"/>
    </xf>
    <xf numFmtId="0" fontId="12" fillId="0" borderId="95" xfId="0" applyFont="1" applyBorder="1" applyAlignment="1">
      <alignment horizontal="left" vertical="top" wrapText="1" readingOrder="1"/>
    </xf>
    <xf numFmtId="0" fontId="12" fillId="0" borderId="97" xfId="0" applyFont="1" applyBorder="1" applyAlignment="1">
      <alignment horizontal="left" vertical="top" wrapText="1" readingOrder="1"/>
    </xf>
    <xf numFmtId="0" fontId="12" fillId="0" borderId="107" xfId="0" applyFont="1" applyBorder="1" applyAlignment="1">
      <alignment horizontal="left" vertical="top" wrapText="1" readingOrder="1"/>
    </xf>
    <xf numFmtId="0" fontId="12" fillId="0" borderId="108" xfId="0" applyFont="1" applyBorder="1" applyAlignment="1">
      <alignment horizontal="left" vertical="top" wrapText="1" readingOrder="1"/>
    </xf>
    <xf numFmtId="0" fontId="12" fillId="0" borderId="109" xfId="0" applyFont="1" applyBorder="1" applyAlignment="1">
      <alignment horizontal="left" vertical="top" wrapText="1" readingOrder="1"/>
    </xf>
    <xf numFmtId="0" fontId="12" fillId="10" borderId="97" xfId="0" applyFont="1" applyFill="1" applyBorder="1" applyAlignment="1">
      <alignment horizontal="left" vertical="top" readingOrder="1"/>
    </xf>
    <xf numFmtId="0" fontId="12" fillId="0" borderId="114" xfId="0" applyFont="1" applyBorder="1" applyAlignment="1">
      <alignment horizontal="left" vertical="top" wrapText="1" readingOrder="1"/>
    </xf>
    <xf numFmtId="0" fontId="12" fillId="0" borderId="118" xfId="0" applyFont="1" applyBorder="1" applyAlignment="1">
      <alignment horizontal="left" vertical="top" wrapText="1" readingOrder="1"/>
    </xf>
    <xf numFmtId="0" fontId="12" fillId="0" borderId="112" xfId="0" applyFont="1" applyBorder="1" applyAlignment="1">
      <alignment horizontal="left" vertical="top" wrapText="1" readingOrder="1"/>
    </xf>
    <xf numFmtId="0" fontId="20" fillId="13" borderId="0" xfId="0" applyFont="1" applyFill="1" applyAlignment="1">
      <alignment horizontal="left" vertical="center"/>
    </xf>
    <xf numFmtId="0" fontId="50" fillId="0" borderId="0" xfId="0" applyFont="1"/>
    <xf numFmtId="0" fontId="13" fillId="18" borderId="126" xfId="0" applyFont="1" applyFill="1" applyBorder="1" applyAlignment="1">
      <alignment readingOrder="1"/>
    </xf>
    <xf numFmtId="0" fontId="13" fillId="18" borderId="129" xfId="0" applyFont="1" applyFill="1" applyBorder="1" applyAlignment="1">
      <alignment readingOrder="1"/>
    </xf>
    <xf numFmtId="0" fontId="13" fillId="18" borderId="130" xfId="0" applyFont="1" applyFill="1" applyBorder="1" applyAlignment="1">
      <alignment readingOrder="1"/>
    </xf>
    <xf numFmtId="0" fontId="14" fillId="0" borderId="40" xfId="0" applyFont="1" applyBorder="1" applyAlignment="1">
      <alignment horizontal="center" wrapText="1" readingOrder="1"/>
    </xf>
    <xf numFmtId="0" fontId="5" fillId="10" borderId="119" xfId="1" applyFill="1" applyBorder="1" applyAlignment="1">
      <alignment horizontal="center" readingOrder="1"/>
    </xf>
    <xf numFmtId="0" fontId="14" fillId="33" borderId="136" xfId="0" applyFont="1" applyFill="1" applyBorder="1" applyAlignment="1">
      <alignment readingOrder="1"/>
    </xf>
    <xf numFmtId="0" fontId="14" fillId="33" borderId="142" xfId="0" applyFont="1" applyFill="1" applyBorder="1" applyAlignment="1">
      <alignment readingOrder="1"/>
    </xf>
    <xf numFmtId="0" fontId="14" fillId="33" borderId="142" xfId="0" applyFont="1" applyFill="1" applyBorder="1" applyAlignment="1">
      <alignment wrapText="1" readingOrder="1"/>
    </xf>
    <xf numFmtId="0" fontId="14" fillId="18" borderId="78" xfId="0" applyFont="1" applyFill="1" applyBorder="1" applyAlignment="1">
      <alignment wrapText="1" readingOrder="1"/>
    </xf>
    <xf numFmtId="0" fontId="14" fillId="10" borderId="79" xfId="0" applyFont="1" applyFill="1" applyBorder="1" applyAlignment="1">
      <alignment wrapText="1" readingOrder="1"/>
    </xf>
    <xf numFmtId="0" fontId="14" fillId="10" borderId="80" xfId="0" applyFont="1" applyFill="1" applyBorder="1" applyAlignment="1">
      <alignment wrapText="1" readingOrder="1"/>
    </xf>
    <xf numFmtId="0" fontId="14" fillId="10" borderId="78" xfId="0" applyFont="1" applyFill="1" applyBorder="1" applyAlignment="1">
      <alignment wrapText="1" readingOrder="1"/>
    </xf>
    <xf numFmtId="0" fontId="12" fillId="10" borderId="79" xfId="0" applyFont="1" applyFill="1" applyBorder="1" applyAlignment="1">
      <alignment wrapText="1" readingOrder="1"/>
    </xf>
    <xf numFmtId="0" fontId="12" fillId="10" borderId="80" xfId="0" applyFont="1" applyFill="1" applyBorder="1" applyAlignment="1">
      <alignment wrapText="1" readingOrder="1"/>
    </xf>
    <xf numFmtId="0" fontId="12" fillId="10" borderId="78" xfId="0" applyFont="1" applyFill="1" applyBorder="1" applyAlignment="1">
      <alignment wrapText="1" readingOrder="1"/>
    </xf>
    <xf numFmtId="21" fontId="12" fillId="0" borderId="79" xfId="0" applyNumberFormat="1" applyFont="1" applyBorder="1" applyAlignment="1">
      <alignment wrapText="1" readingOrder="1"/>
    </xf>
    <xf numFmtId="21" fontId="12" fillId="0" borderId="80" xfId="0" applyNumberFormat="1" applyFont="1" applyBorder="1" applyAlignment="1">
      <alignment wrapText="1" readingOrder="1"/>
    </xf>
    <xf numFmtId="21" fontId="12" fillId="0" borderId="78" xfId="0" applyNumberFormat="1" applyFont="1" applyBorder="1" applyAlignment="1">
      <alignment wrapText="1" readingOrder="1"/>
    </xf>
    <xf numFmtId="0" fontId="5" fillId="10" borderId="79" xfId="1" applyFill="1" applyBorder="1" applyAlignment="1">
      <alignment readingOrder="1"/>
    </xf>
    <xf numFmtId="0" fontId="5" fillId="10" borderId="80" xfId="1" applyFill="1" applyBorder="1" applyAlignment="1">
      <alignment readingOrder="1"/>
    </xf>
    <xf numFmtId="0" fontId="5" fillId="10" borderId="78" xfId="1" applyFill="1" applyBorder="1" applyAlignment="1">
      <alignment readingOrder="1"/>
    </xf>
    <xf numFmtId="0" fontId="14" fillId="10" borderId="147" xfId="0" applyFont="1" applyFill="1" applyBorder="1" applyAlignment="1">
      <alignment wrapText="1" readingOrder="1"/>
    </xf>
    <xf numFmtId="0" fontId="12" fillId="10" borderId="107" xfId="0" applyFont="1" applyFill="1" applyBorder="1" applyAlignment="1">
      <alignment readingOrder="1"/>
    </xf>
    <xf numFmtId="0" fontId="14" fillId="10" borderId="148" xfId="0" applyFont="1" applyFill="1" applyBorder="1" applyAlignment="1">
      <alignment wrapText="1" readingOrder="1"/>
    </xf>
    <xf numFmtId="0" fontId="12" fillId="10" borderId="108" xfId="0" applyFont="1" applyFill="1" applyBorder="1" applyAlignment="1">
      <alignment readingOrder="1"/>
    </xf>
    <xf numFmtId="0" fontId="12" fillId="10" borderId="149" xfId="0" applyFont="1" applyFill="1" applyBorder="1" applyAlignment="1">
      <alignment readingOrder="1"/>
    </xf>
    <xf numFmtId="0" fontId="14" fillId="10" borderId="150" xfId="0" applyFont="1" applyFill="1" applyBorder="1" applyAlignment="1">
      <alignment wrapText="1" readingOrder="1"/>
    </xf>
    <xf numFmtId="0" fontId="14" fillId="10" borderId="151" xfId="0" applyFont="1" applyFill="1" applyBorder="1" applyAlignment="1">
      <alignment wrapText="1" readingOrder="1"/>
    </xf>
    <xf numFmtId="0" fontId="12" fillId="10" borderId="97" xfId="0" applyFont="1" applyFill="1" applyBorder="1" applyAlignment="1">
      <alignment readingOrder="1"/>
    </xf>
    <xf numFmtId="0" fontId="5" fillId="0" borderId="76" xfId="1" applyBorder="1" applyAlignment="1">
      <alignment readingOrder="1"/>
    </xf>
    <xf numFmtId="0" fontId="5" fillId="0" borderId="77" xfId="1" applyBorder="1" applyAlignment="1">
      <alignment readingOrder="1"/>
    </xf>
    <xf numFmtId="0" fontId="13" fillId="0" borderId="145" xfId="0" applyFont="1" applyBorder="1" applyAlignment="1">
      <alignment readingOrder="1"/>
    </xf>
    <xf numFmtId="0" fontId="14" fillId="0" borderId="145" xfId="0" applyFont="1" applyBorder="1" applyAlignment="1">
      <alignment wrapText="1" readingOrder="1"/>
    </xf>
    <xf numFmtId="0" fontId="12" fillId="0" borderId="145" xfId="0" applyFont="1" applyBorder="1" applyAlignment="1">
      <alignment readingOrder="1"/>
    </xf>
    <xf numFmtId="21" fontId="12" fillId="0" borderId="116" xfId="0" applyNumberFormat="1" applyFont="1" applyBorder="1" applyAlignment="1">
      <alignment readingOrder="1"/>
    </xf>
    <xf numFmtId="0" fontId="13" fillId="0" borderId="111" xfId="0" applyFont="1" applyBorder="1" applyAlignment="1">
      <alignment readingOrder="1"/>
    </xf>
    <xf numFmtId="0" fontId="14" fillId="0" borderId="111" xfId="0" applyFont="1" applyBorder="1" applyAlignment="1">
      <alignment wrapText="1" readingOrder="1"/>
    </xf>
    <xf numFmtId="0" fontId="12" fillId="0" borderId="111" xfId="0" applyFont="1" applyBorder="1" applyAlignment="1">
      <alignment readingOrder="1"/>
    </xf>
    <xf numFmtId="21" fontId="12" fillId="0" borderId="120" xfId="0" applyNumberFormat="1" applyFont="1" applyBorder="1" applyAlignment="1">
      <alignment readingOrder="1"/>
    </xf>
    <xf numFmtId="0" fontId="13" fillId="0" borderId="112" xfId="0" applyFont="1" applyBorder="1" applyAlignment="1">
      <alignment readingOrder="1"/>
    </xf>
    <xf numFmtId="0" fontId="14" fillId="0" borderId="112" xfId="0" applyFont="1" applyBorder="1" applyAlignment="1">
      <alignment wrapText="1" readingOrder="1"/>
    </xf>
    <xf numFmtId="0" fontId="12" fillId="0" borderId="112" xfId="0" applyFont="1" applyBorder="1" applyAlignment="1">
      <alignment readingOrder="1"/>
    </xf>
    <xf numFmtId="21" fontId="12" fillId="0" borderId="97" xfId="0" applyNumberFormat="1" applyFont="1" applyBorder="1" applyAlignment="1">
      <alignment readingOrder="1"/>
    </xf>
    <xf numFmtId="0" fontId="5" fillId="10" borderId="152" xfId="1" applyFill="1" applyBorder="1" applyAlignment="1">
      <alignment readingOrder="1"/>
    </xf>
    <xf numFmtId="0" fontId="5" fillId="10" borderId="153" xfId="1" applyFill="1" applyBorder="1" applyAlignment="1">
      <alignment readingOrder="1"/>
    </xf>
    <xf numFmtId="0" fontId="5" fillId="23" borderId="4" xfId="1" applyFill="1" applyBorder="1" applyAlignment="1">
      <alignment vertical="center"/>
    </xf>
    <xf numFmtId="0" fontId="37" fillId="0" borderId="2" xfId="0" applyFont="1" applyBorder="1" applyAlignment="1">
      <alignment horizontal="center" vertical="center" wrapText="1"/>
    </xf>
    <xf numFmtId="0" fontId="5" fillId="27" borderId="4" xfId="1" applyFill="1" applyBorder="1" applyAlignment="1">
      <alignment horizontal="center" vertical="center"/>
    </xf>
    <xf numFmtId="0" fontId="5" fillId="27" borderId="14" xfId="1" applyFill="1" applyBorder="1" applyAlignment="1">
      <alignment horizontal="center" vertical="center" readingOrder="1"/>
    </xf>
    <xf numFmtId="0" fontId="5" fillId="27" borderId="78" xfId="1" applyFill="1" applyBorder="1" applyAlignment="1">
      <alignment horizontal="center" vertical="center" readingOrder="1"/>
    </xf>
    <xf numFmtId="0" fontId="8" fillId="4" borderId="32" xfId="0" applyFont="1" applyFill="1" applyBorder="1" applyAlignment="1">
      <alignment vertical="center" wrapText="1" readingOrder="1"/>
    </xf>
    <xf numFmtId="0" fontId="26" fillId="0" borderId="56" xfId="1" applyFont="1" applyBorder="1" applyAlignment="1">
      <alignment vertical="center" readingOrder="1"/>
    </xf>
    <xf numFmtId="0" fontId="26" fillId="0" borderId="54" xfId="1" applyFont="1" applyBorder="1" applyAlignment="1">
      <alignment vertical="center" readingOrder="1"/>
    </xf>
    <xf numFmtId="0" fontId="5" fillId="0" borderId="54" xfId="1" applyBorder="1" applyAlignment="1">
      <alignment vertical="center" readingOrder="1"/>
    </xf>
    <xf numFmtId="0" fontId="5" fillId="0" borderId="55" xfId="1" applyBorder="1" applyAlignment="1">
      <alignment vertical="center" readingOrder="1"/>
    </xf>
    <xf numFmtId="0" fontId="5" fillId="10" borderId="54" xfId="1" applyFill="1" applyBorder="1" applyAlignment="1">
      <alignment vertical="center" readingOrder="1"/>
    </xf>
    <xf numFmtId="0" fontId="5" fillId="0" borderId="0" xfId="1" applyAlignment="1">
      <alignment vertical="center"/>
    </xf>
    <xf numFmtId="0" fontId="5" fillId="10" borderId="58" xfId="1" applyFill="1" applyBorder="1" applyAlignment="1">
      <alignment vertical="center" readingOrder="1"/>
    </xf>
    <xf numFmtId="0" fontId="26" fillId="0" borderId="0" xfId="1" applyFont="1" applyAlignment="1">
      <alignment vertical="center"/>
    </xf>
    <xf numFmtId="0" fontId="5" fillId="0" borderId="79" xfId="1" applyBorder="1" applyAlignment="1">
      <alignment vertical="center" readingOrder="1"/>
    </xf>
    <xf numFmtId="0" fontId="5" fillId="0" borderId="80" xfId="1" applyBorder="1" applyAlignment="1">
      <alignment vertical="center" readingOrder="1"/>
    </xf>
    <xf numFmtId="0" fontId="5" fillId="0" borderId="78" xfId="1" applyBorder="1" applyAlignment="1">
      <alignment vertical="center" readingOrder="1"/>
    </xf>
    <xf numFmtId="0" fontId="5" fillId="0" borderId="2" xfId="1" applyBorder="1" applyAlignment="1">
      <alignment vertical="center" readingOrder="1"/>
    </xf>
    <xf numFmtId="0" fontId="13" fillId="0" borderId="80" xfId="0" applyFont="1" applyBorder="1" applyAlignment="1">
      <alignment vertical="center" readingOrder="1"/>
    </xf>
    <xf numFmtId="0" fontId="5" fillId="10" borderId="77" xfId="1" applyFill="1" applyBorder="1" applyAlignment="1">
      <alignment wrapText="1" readingOrder="1"/>
    </xf>
    <xf numFmtId="0" fontId="5" fillId="27" borderId="4" xfId="1" applyFill="1" applyBorder="1" applyAlignment="1">
      <alignment horizontal="left" vertical="center" wrapText="1"/>
    </xf>
    <xf numFmtId="0" fontId="5" fillId="10" borderId="117" xfId="1" applyFill="1" applyBorder="1" applyAlignment="1">
      <alignment horizontal="center" readingOrder="1"/>
    </xf>
    <xf numFmtId="0" fontId="5" fillId="10" borderId="121" xfId="1" applyFill="1" applyBorder="1" applyAlignment="1">
      <alignment horizontal="center" readingOrder="1"/>
    </xf>
    <xf numFmtId="0" fontId="5" fillId="10" borderId="112" xfId="1" applyFill="1" applyBorder="1" applyAlignment="1">
      <alignment horizontal="center" readingOrder="1"/>
    </xf>
    <xf numFmtId="0" fontId="0" fillId="9" borderId="0" xfId="0" applyFill="1" applyAlignment="1">
      <alignment vertical="center"/>
    </xf>
    <xf numFmtId="21" fontId="0" fillId="0" borderId="0" xfId="0" applyNumberFormat="1" applyAlignment="1">
      <alignment vertical="center"/>
    </xf>
    <xf numFmtId="0" fontId="5" fillId="13" borderId="4" xfId="1" applyFill="1" applyBorder="1" applyAlignment="1">
      <alignment vertical="center"/>
    </xf>
    <xf numFmtId="0" fontId="5" fillId="22" borderId="4" xfId="1" applyFill="1" applyBorder="1" applyAlignment="1">
      <alignment horizontal="center" vertical="center"/>
    </xf>
    <xf numFmtId="0" fontId="5" fillId="22" borderId="0" xfId="1" applyFill="1" applyAlignment="1">
      <alignment horizontal="center" vertical="center"/>
    </xf>
    <xf numFmtId="0" fontId="18" fillId="13" borderId="2" xfId="0" applyFont="1" applyFill="1" applyBorder="1" applyAlignment="1">
      <alignment horizontal="center" vertical="center" wrapText="1"/>
    </xf>
    <xf numFmtId="0" fontId="17" fillId="13" borderId="2" xfId="0" applyFont="1" applyFill="1" applyBorder="1" applyAlignment="1">
      <alignment horizontal="center" vertical="center" wrapText="1" readingOrder="1"/>
    </xf>
    <xf numFmtId="164" fontId="1" fillId="13" borderId="20" xfId="0" applyNumberFormat="1" applyFont="1" applyFill="1" applyBorder="1" applyAlignment="1">
      <alignment horizontal="center" vertical="center"/>
    </xf>
    <xf numFmtId="0" fontId="8" fillId="13" borderId="70" xfId="0" applyFont="1" applyFill="1" applyBorder="1" applyAlignment="1">
      <alignment horizontal="center" vertical="center" wrapText="1" readingOrder="1"/>
    </xf>
    <xf numFmtId="0" fontId="12" fillId="13" borderId="78" xfId="0" applyFont="1" applyFill="1" applyBorder="1" applyAlignment="1">
      <alignment readingOrder="1"/>
    </xf>
    <xf numFmtId="0" fontId="12" fillId="13" borderId="14" xfId="0" applyFont="1" applyFill="1" applyBorder="1" applyAlignment="1">
      <alignment readingOrder="1"/>
    </xf>
    <xf numFmtId="0" fontId="5" fillId="13" borderId="154" xfId="1" applyFill="1" applyBorder="1" applyAlignment="1">
      <alignment readingOrder="1"/>
    </xf>
    <xf numFmtId="0" fontId="5" fillId="13" borderId="97" xfId="1" applyFill="1" applyBorder="1" applyAlignment="1">
      <alignment readingOrder="1"/>
    </xf>
    <xf numFmtId="0" fontId="5" fillId="26" borderId="14" xfId="1" applyFill="1" applyBorder="1" applyAlignment="1">
      <alignment readingOrder="1"/>
    </xf>
    <xf numFmtId="0" fontId="5" fillId="26" borderId="78" xfId="1" applyFill="1" applyBorder="1" applyAlignment="1">
      <alignment readingOrder="1"/>
    </xf>
    <xf numFmtId="0" fontId="1" fillId="0" borderId="0" xfId="1" applyFont="1" applyAlignment="1">
      <alignment vertical="center"/>
    </xf>
    <xf numFmtId="0" fontId="0" fillId="6" borderId="3" xfId="0" applyFill="1" applyBorder="1" applyAlignment="1">
      <alignment horizontal="center" vertical="center" wrapText="1"/>
    </xf>
    <xf numFmtId="0" fontId="0" fillId="6" borderId="5"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16" xfId="0" applyFill="1" applyBorder="1" applyAlignment="1">
      <alignment horizontal="center" vertical="center" wrapText="1"/>
    </xf>
    <xf numFmtId="0" fontId="14" fillId="15" borderId="2" xfId="0" applyFont="1" applyFill="1" applyBorder="1" applyAlignment="1">
      <alignment horizontal="center" vertical="center" readingOrder="1"/>
    </xf>
    <xf numFmtId="0" fontId="14" fillId="15" borderId="3" xfId="0" applyFont="1" applyFill="1" applyBorder="1" applyAlignment="1">
      <alignment horizontal="center" vertical="center" readingOrder="1"/>
    </xf>
    <xf numFmtId="0" fontId="14" fillId="15" borderId="5" xfId="0" applyFont="1" applyFill="1" applyBorder="1" applyAlignment="1">
      <alignment horizontal="center" vertical="center" readingOrder="1"/>
    </xf>
    <xf numFmtId="0" fontId="14" fillId="15" borderId="6" xfId="0" applyFont="1" applyFill="1" applyBorder="1" applyAlignment="1">
      <alignment horizontal="center" vertical="center" readingOrder="1"/>
    </xf>
    <xf numFmtId="0" fontId="3" fillId="8" borderId="5" xfId="0" applyFont="1" applyFill="1" applyBorder="1" applyAlignment="1">
      <alignment horizontal="center" vertical="center" readingOrder="1"/>
    </xf>
    <xf numFmtId="0" fontId="3" fillId="8" borderId="3" xfId="0" applyFont="1" applyFill="1" applyBorder="1" applyAlignment="1">
      <alignment horizontal="center" vertical="center" readingOrder="1"/>
    </xf>
    <xf numFmtId="0" fontId="3" fillId="8" borderId="6" xfId="0" applyFont="1" applyFill="1" applyBorder="1" applyAlignment="1">
      <alignment horizontal="center" vertical="center" readingOrder="1"/>
    </xf>
    <xf numFmtId="0" fontId="8" fillId="8" borderId="3" xfId="0" applyFont="1" applyFill="1" applyBorder="1" applyAlignment="1">
      <alignment horizontal="center" vertical="center" readingOrder="1"/>
    </xf>
    <xf numFmtId="0" fontId="8" fillId="8" borderId="5" xfId="0" applyFont="1" applyFill="1" applyBorder="1" applyAlignment="1">
      <alignment horizontal="center" vertical="center" readingOrder="1"/>
    </xf>
    <xf numFmtId="0" fontId="0" fillId="6" borderId="3" xfId="0" applyFill="1" applyBorder="1" applyAlignment="1">
      <alignment horizontal="center" vertical="center"/>
    </xf>
    <xf numFmtId="0" fontId="0" fillId="6" borderId="5" xfId="0" applyFill="1" applyBorder="1" applyAlignment="1">
      <alignment horizontal="center" vertical="center"/>
    </xf>
    <xf numFmtId="0" fontId="8" fillId="8" borderId="24" xfId="0" applyFont="1" applyFill="1" applyBorder="1" applyAlignment="1">
      <alignment horizontal="center" vertical="center" readingOrder="1"/>
    </xf>
    <xf numFmtId="0" fontId="8" fillId="8" borderId="25" xfId="0" applyFont="1" applyFill="1" applyBorder="1" applyAlignment="1">
      <alignment horizontal="center" vertical="center" readingOrder="1"/>
    </xf>
    <xf numFmtId="0" fontId="0" fillId="7" borderId="9" xfId="0" applyFill="1" applyBorder="1" applyAlignment="1">
      <alignment horizontal="center" vertical="center"/>
    </xf>
    <xf numFmtId="0" fontId="0" fillId="7" borderId="0" xfId="0" applyFill="1" applyAlignment="1">
      <alignment horizontal="center" vertical="center"/>
    </xf>
    <xf numFmtId="0" fontId="0" fillId="0" borderId="12"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7" borderId="5" xfId="0" applyFill="1" applyBorder="1" applyAlignment="1">
      <alignment horizontal="center" vertical="center" wrapText="1"/>
    </xf>
    <xf numFmtId="0" fontId="0" fillId="0" borderId="18" xfId="0" applyBorder="1" applyAlignment="1">
      <alignment horizontal="center" vertical="center" wrapText="1"/>
    </xf>
    <xf numFmtId="0" fontId="0" fillId="0" borderId="11" xfId="0" applyBorder="1" applyAlignment="1">
      <alignment horizontal="center" vertical="center" wrapText="1"/>
    </xf>
    <xf numFmtId="0" fontId="0" fillId="6" borderId="2" xfId="0" applyFill="1" applyBorder="1" applyAlignment="1">
      <alignment horizontal="center" vertical="center"/>
    </xf>
    <xf numFmtId="0" fontId="6" fillId="7" borderId="2" xfId="0" applyFont="1" applyFill="1" applyBorder="1" applyAlignment="1">
      <alignment horizontal="center" vertical="center" wrapText="1" readingOrder="1"/>
    </xf>
    <xf numFmtId="0" fontId="0" fillId="6" borderId="15" xfId="0" applyFill="1" applyBorder="1" applyAlignment="1">
      <alignment horizontal="center" vertical="center"/>
    </xf>
    <xf numFmtId="0" fontId="0" fillId="6" borderId="16" xfId="0" applyFill="1" applyBorder="1" applyAlignment="1">
      <alignment horizontal="center" vertical="center"/>
    </xf>
    <xf numFmtId="0" fontId="0" fillId="6" borderId="7" xfId="0" applyFill="1" applyBorder="1" applyAlignment="1">
      <alignment horizontal="center" vertical="center"/>
    </xf>
    <xf numFmtId="0" fontId="6" fillId="7" borderId="9" xfId="0" applyFont="1" applyFill="1" applyBorder="1" applyAlignment="1">
      <alignment horizontal="center" vertical="center" wrapText="1" readingOrder="1"/>
    </xf>
    <xf numFmtId="0" fontId="6" fillId="7" borderId="0" xfId="0" applyFont="1" applyFill="1" applyAlignment="1">
      <alignment horizontal="center" vertical="center" wrapText="1" readingOrder="1"/>
    </xf>
    <xf numFmtId="0" fontId="6" fillId="7" borderId="8" xfId="0" applyFont="1" applyFill="1" applyBorder="1" applyAlignment="1">
      <alignment horizontal="center" vertical="center" wrapText="1" readingOrder="1"/>
    </xf>
    <xf numFmtId="0" fontId="3" fillId="8" borderId="0" xfId="0" applyFont="1" applyFill="1" applyAlignment="1">
      <alignment horizontal="center" vertical="center" wrapText="1" readingOrder="1"/>
    </xf>
    <xf numFmtId="0" fontId="3" fillId="8" borderId="8" xfId="0" applyFont="1" applyFill="1" applyBorder="1" applyAlignment="1">
      <alignment horizontal="center" vertical="center" wrapText="1" readingOrder="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xf>
    <xf numFmtId="0" fontId="0" fillId="14" borderId="3" xfId="0" applyFill="1" applyBorder="1" applyAlignment="1">
      <alignment horizontal="center" vertical="center" wrapText="1"/>
    </xf>
    <xf numFmtId="0" fontId="0" fillId="14" borderId="5" xfId="0" applyFill="1" applyBorder="1" applyAlignment="1">
      <alignment horizontal="center" vertical="center" wrapText="1"/>
    </xf>
    <xf numFmtId="0" fontId="0" fillId="7" borderId="3" xfId="0" applyFill="1" applyBorder="1" applyAlignment="1">
      <alignment horizontal="center" vertical="center" wrapText="1"/>
    </xf>
    <xf numFmtId="0" fontId="0" fillId="6" borderId="6" xfId="0" applyFill="1" applyBorder="1" applyAlignment="1">
      <alignment horizontal="center" vertical="center"/>
    </xf>
    <xf numFmtId="0" fontId="0" fillId="14" borderId="5" xfId="0" applyFill="1" applyBorder="1" applyAlignment="1">
      <alignment horizontal="center" vertical="center"/>
    </xf>
    <xf numFmtId="0" fontId="0" fillId="14" borderId="6" xfId="0" applyFill="1" applyBorder="1" applyAlignment="1">
      <alignment horizontal="center" vertical="center"/>
    </xf>
    <xf numFmtId="0" fontId="0" fillId="0" borderId="13" xfId="0" applyBorder="1" applyAlignment="1">
      <alignment horizontal="center" vertical="center" wrapText="1"/>
    </xf>
    <xf numFmtId="0" fontId="0" fillId="14" borderId="6" xfId="0" applyFill="1" applyBorder="1" applyAlignment="1">
      <alignment horizontal="center" vertical="center" wrapText="1"/>
    </xf>
    <xf numFmtId="0" fontId="0" fillId="7" borderId="6" xfId="0" applyFill="1" applyBorder="1" applyAlignment="1">
      <alignment horizontal="center" vertical="center" wrapText="1"/>
    </xf>
    <xf numFmtId="0" fontId="0" fillId="0" borderId="0" xfId="0" applyAlignment="1">
      <alignment horizontal="center" vertical="center"/>
    </xf>
    <xf numFmtId="0" fontId="0" fillId="0" borderId="15" xfId="0" applyBorder="1" applyAlignment="1">
      <alignment horizontal="center" vertical="center" wrapText="1"/>
    </xf>
    <xf numFmtId="0" fontId="8" fillId="8" borderId="71" xfId="0" applyFont="1" applyFill="1" applyBorder="1" applyAlignment="1">
      <alignment horizontal="center" vertical="center" wrapText="1" readingOrder="1"/>
    </xf>
    <xf numFmtId="0" fontId="8" fillId="8" borderId="73" xfId="0" applyFont="1" applyFill="1" applyBorder="1" applyAlignment="1">
      <alignment horizontal="center" vertical="center" wrapText="1" readingOrder="1"/>
    </xf>
    <xf numFmtId="0" fontId="8" fillId="8" borderId="72" xfId="0" applyFont="1" applyFill="1" applyBorder="1" applyAlignment="1">
      <alignment horizontal="center" vertical="center" wrapText="1" readingOrder="1"/>
    </xf>
    <xf numFmtId="0" fontId="8" fillId="8" borderId="0" xfId="0" applyFont="1" applyFill="1" applyAlignment="1">
      <alignment horizontal="center" vertical="center" readingOrder="1"/>
    </xf>
    <xf numFmtId="0" fontId="8" fillId="8" borderId="8" xfId="0" applyFont="1" applyFill="1" applyBorder="1" applyAlignment="1">
      <alignment horizontal="center" vertical="center" readingOrder="1"/>
    </xf>
    <xf numFmtId="0" fontId="0" fillId="0" borderId="0" xfId="0" applyAlignment="1">
      <alignment horizontal="center" vertical="center" wrapText="1"/>
    </xf>
    <xf numFmtId="0" fontId="0" fillId="14" borderId="9" xfId="0" applyFill="1" applyBorder="1" applyAlignment="1">
      <alignment horizontal="center" vertical="center" wrapText="1"/>
    </xf>
    <xf numFmtId="0" fontId="0" fillId="14" borderId="0" xfId="0" applyFill="1" applyAlignment="1">
      <alignment horizontal="center" vertical="center" wrapText="1"/>
    </xf>
    <xf numFmtId="0" fontId="0" fillId="0" borderId="16" xfId="0" applyBorder="1" applyAlignment="1">
      <alignment horizontal="center" vertical="center" wrapText="1"/>
    </xf>
    <xf numFmtId="0" fontId="0" fillId="0" borderId="22" xfId="0" applyBorder="1" applyAlignment="1">
      <alignment horizontal="center" vertical="center"/>
    </xf>
    <xf numFmtId="0" fontId="0" fillId="0" borderId="22" xfId="0" applyBorder="1" applyAlignment="1">
      <alignment horizontal="center" vertical="center" wrapText="1"/>
    </xf>
    <xf numFmtId="0" fontId="3" fillId="8" borderId="25" xfId="0" applyFont="1" applyFill="1" applyBorder="1" applyAlignment="1">
      <alignment horizontal="center" vertical="center" wrapText="1" readingOrder="1"/>
    </xf>
    <xf numFmtId="0" fontId="3" fillId="8" borderId="67" xfId="0" applyFont="1" applyFill="1" applyBorder="1" applyAlignment="1">
      <alignment horizontal="center" vertical="center" wrapText="1" readingOrder="1"/>
    </xf>
    <xf numFmtId="0" fontId="3" fillId="8" borderId="3" xfId="0" applyFont="1" applyFill="1" applyBorder="1" applyAlignment="1">
      <alignment horizontal="center" vertical="center" wrapText="1" readingOrder="1"/>
    </xf>
    <xf numFmtId="0" fontId="3" fillId="8" borderId="5" xfId="0" applyFont="1" applyFill="1" applyBorder="1" applyAlignment="1">
      <alignment horizontal="center" vertical="center" wrapText="1" readingOrder="1"/>
    </xf>
    <xf numFmtId="0" fontId="0" fillId="0" borderId="9" xfId="0" applyBorder="1" applyAlignment="1">
      <alignment horizontal="center" vertical="center"/>
    </xf>
    <xf numFmtId="0" fontId="9" fillId="7" borderId="9" xfId="0" applyFont="1" applyFill="1" applyBorder="1" applyAlignment="1">
      <alignment horizontal="center" vertical="center" wrapText="1" readingOrder="1"/>
    </xf>
    <xf numFmtId="0" fontId="8" fillId="8" borderId="24" xfId="0" applyFont="1" applyFill="1" applyBorder="1" applyAlignment="1">
      <alignment horizontal="center" vertical="center" wrapText="1" readingOrder="1"/>
    </xf>
    <xf numFmtId="0" fontId="8" fillId="8" borderId="25" xfId="0" applyFont="1" applyFill="1" applyBorder="1" applyAlignment="1">
      <alignment horizontal="center" vertical="center" wrapText="1" readingOrder="1"/>
    </xf>
    <xf numFmtId="0" fontId="3" fillId="8" borderId="6" xfId="0" applyFont="1" applyFill="1" applyBorder="1" applyAlignment="1">
      <alignment horizontal="center" vertical="center" wrapText="1" readingOrder="1"/>
    </xf>
    <xf numFmtId="0" fontId="3" fillId="8" borderId="35" xfId="0" applyFont="1" applyFill="1" applyBorder="1" applyAlignment="1">
      <alignment horizontal="center" vertical="center" readingOrder="1"/>
    </xf>
    <xf numFmtId="0" fontId="3" fillId="8" borderId="25" xfId="0" applyFont="1" applyFill="1" applyBorder="1" applyAlignment="1">
      <alignment horizontal="center" vertical="center" readingOrder="1"/>
    </xf>
    <xf numFmtId="0" fontId="0" fillId="6" borderId="34" xfId="0" applyFill="1" applyBorder="1" applyAlignment="1">
      <alignment horizontal="center" vertical="center"/>
    </xf>
    <xf numFmtId="0" fontId="0" fillId="6" borderId="0" xfId="0" applyFill="1" applyAlignment="1">
      <alignment horizontal="center" vertical="center"/>
    </xf>
    <xf numFmtId="0" fontId="0" fillId="14" borderId="34" xfId="0" applyFill="1" applyBorder="1" applyAlignment="1">
      <alignment horizontal="center" vertical="center" wrapText="1"/>
    </xf>
    <xf numFmtId="0" fontId="12" fillId="6" borderId="0" xfId="0" applyFont="1" applyFill="1" applyAlignment="1">
      <alignment horizontal="center" vertical="center" readingOrder="1"/>
    </xf>
    <xf numFmtId="0" fontId="12" fillId="7" borderId="0" xfId="0" applyFont="1" applyFill="1" applyAlignment="1">
      <alignment horizontal="center" vertical="center" wrapText="1" readingOrder="1"/>
    </xf>
    <xf numFmtId="0" fontId="14" fillId="15" borderId="0" xfId="0" applyFont="1" applyFill="1" applyAlignment="1">
      <alignment horizontal="center" vertical="center" readingOrder="1"/>
    </xf>
    <xf numFmtId="0" fontId="8" fillId="8" borderId="6" xfId="0" applyFont="1" applyFill="1" applyBorder="1" applyAlignment="1">
      <alignment horizontal="center" vertical="center" readingOrder="1"/>
    </xf>
    <xf numFmtId="0" fontId="0" fillId="6" borderId="23" xfId="0" applyFill="1" applyBorder="1" applyAlignment="1">
      <alignment horizontal="center" vertical="center"/>
    </xf>
    <xf numFmtId="0" fontId="0" fillId="14" borderId="23" xfId="0" applyFill="1" applyBorder="1" applyAlignment="1">
      <alignment horizontal="center" vertical="center" wrapText="1"/>
    </xf>
    <xf numFmtId="0" fontId="8" fillId="8" borderId="23" xfId="0" applyFont="1" applyFill="1" applyBorder="1" applyAlignment="1">
      <alignment horizontal="center" vertical="center" readingOrder="1"/>
    </xf>
    <xf numFmtId="0" fontId="0" fillId="0" borderId="14" xfId="0" applyBorder="1" applyAlignment="1">
      <alignment horizontal="center" vertical="center" wrapText="1"/>
    </xf>
    <xf numFmtId="0" fontId="0" fillId="3" borderId="33" xfId="0" applyFill="1" applyBorder="1" applyAlignment="1">
      <alignment horizontal="center"/>
    </xf>
    <xf numFmtId="0" fontId="0" fillId="3" borderId="61" xfId="0" applyFill="1" applyBorder="1" applyAlignment="1">
      <alignment horizontal="center"/>
    </xf>
    <xf numFmtId="0" fontId="0" fillId="3" borderId="62" xfId="0" applyFill="1" applyBorder="1" applyAlignment="1">
      <alignment horizontal="center"/>
    </xf>
    <xf numFmtId="0" fontId="23" fillId="6" borderId="27" xfId="0" applyFont="1" applyFill="1" applyBorder="1" applyAlignment="1">
      <alignment horizontal="center" vertical="center"/>
    </xf>
    <xf numFmtId="0" fontId="23" fillId="6" borderId="0" xfId="0" applyFont="1" applyFill="1" applyAlignment="1">
      <alignment horizontal="center" vertical="center"/>
    </xf>
    <xf numFmtId="0" fontId="23" fillId="17" borderId="27" xfId="0" applyFont="1" applyFill="1" applyBorder="1" applyAlignment="1">
      <alignment horizontal="center" vertical="center" wrapText="1" readingOrder="1"/>
    </xf>
    <xf numFmtId="0" fontId="23" fillId="17" borderId="0" xfId="0" applyFont="1" applyFill="1" applyAlignment="1">
      <alignment horizontal="center" vertical="center" wrapText="1" readingOrder="1"/>
    </xf>
    <xf numFmtId="0" fontId="27" fillId="10" borderId="28" xfId="0" applyFont="1" applyFill="1" applyBorder="1" applyAlignment="1">
      <alignment horizontal="center" vertical="center" wrapText="1" readingOrder="1"/>
    </xf>
    <xf numFmtId="0" fontId="27" fillId="10" borderId="29" xfId="0" applyFont="1" applyFill="1" applyBorder="1" applyAlignment="1">
      <alignment horizontal="center" vertical="center" wrapText="1" readingOrder="1"/>
    </xf>
    <xf numFmtId="0" fontId="27" fillId="10" borderId="30" xfId="0" applyFont="1" applyFill="1" applyBorder="1" applyAlignment="1">
      <alignment horizontal="center" vertical="center" wrapText="1" readingOrder="1"/>
    </xf>
    <xf numFmtId="0" fontId="27" fillId="11" borderId="28" xfId="0" applyFont="1" applyFill="1" applyBorder="1" applyAlignment="1">
      <alignment horizontal="center" vertical="center" wrapText="1" readingOrder="1"/>
    </xf>
    <xf numFmtId="0" fontId="27" fillId="11" borderId="29" xfId="0" applyFont="1" applyFill="1" applyBorder="1" applyAlignment="1">
      <alignment horizontal="center" vertical="center" wrapText="1" readingOrder="1"/>
    </xf>
    <xf numFmtId="0" fontId="1" fillId="16" borderId="27" xfId="0" applyFont="1" applyFill="1" applyBorder="1" applyAlignment="1">
      <alignment horizontal="center" vertical="center"/>
    </xf>
    <xf numFmtId="0" fontId="1" fillId="16" borderId="0" xfId="0" applyFont="1" applyFill="1" applyAlignment="1">
      <alignment horizontal="center" vertical="center"/>
    </xf>
    <xf numFmtId="0" fontId="6" fillId="7" borderId="27" xfId="0" applyFont="1" applyFill="1" applyBorder="1" applyAlignment="1">
      <alignment horizontal="center" vertical="center" wrapText="1" readingOrder="1"/>
    </xf>
    <xf numFmtId="0" fontId="8" fillId="21" borderId="28" xfId="0" applyFont="1" applyFill="1" applyBorder="1" applyAlignment="1">
      <alignment horizontal="center" vertical="center" readingOrder="1"/>
    </xf>
    <xf numFmtId="0" fontId="8" fillId="21" borderId="29" xfId="0" applyFont="1" applyFill="1" applyBorder="1" applyAlignment="1">
      <alignment horizontal="center" vertical="center" readingOrder="1"/>
    </xf>
    <xf numFmtId="0" fontId="8" fillId="21" borderId="30" xfId="0" applyFont="1" applyFill="1" applyBorder="1" applyAlignment="1">
      <alignment horizontal="center" vertical="center" readingOrder="1"/>
    </xf>
    <xf numFmtId="0" fontId="8" fillId="21" borderId="60" xfId="0" applyFont="1" applyFill="1" applyBorder="1" applyAlignment="1">
      <alignment horizontal="center" vertical="center" readingOrder="1"/>
    </xf>
    <xf numFmtId="0" fontId="33" fillId="0" borderId="0" xfId="0" applyFont="1" applyAlignment="1">
      <alignment horizontal="center" vertical="center" wrapText="1"/>
    </xf>
    <xf numFmtId="0" fontId="25" fillId="0" borderId="0" xfId="0" applyFont="1" applyAlignment="1">
      <alignment horizontal="center" vertical="center" wrapText="1"/>
    </xf>
    <xf numFmtId="0" fontId="28" fillId="0" borderId="9" xfId="0" applyFont="1" applyBorder="1" applyAlignment="1">
      <alignment horizontal="center" vertical="center" wrapText="1"/>
    </xf>
    <xf numFmtId="0" fontId="28" fillId="0" borderId="0" xfId="0" applyFont="1" applyAlignment="1">
      <alignment horizontal="center" vertical="center" wrapText="1"/>
    </xf>
    <xf numFmtId="0" fontId="25" fillId="0" borderId="9" xfId="0" applyFont="1" applyBorder="1" applyAlignment="1">
      <alignment horizontal="center" vertical="center" wrapText="1"/>
    </xf>
    <xf numFmtId="0" fontId="36" fillId="0" borderId="9" xfId="0" applyFont="1" applyBorder="1" applyAlignment="1">
      <alignment horizontal="center" vertical="center" wrapText="1"/>
    </xf>
    <xf numFmtId="0" fontId="36" fillId="0" borderId="0" xfId="0" applyFont="1" applyAlignment="1">
      <alignment horizontal="center" vertical="center" wrapText="1"/>
    </xf>
    <xf numFmtId="0" fontId="25" fillId="0" borderId="9" xfId="0" applyFont="1" applyBorder="1" applyAlignment="1">
      <alignment horizontal="center" vertical="center"/>
    </xf>
    <xf numFmtId="0" fontId="25" fillId="0" borderId="0" xfId="0" applyFont="1" applyAlignment="1">
      <alignment horizontal="center" vertical="center"/>
    </xf>
    <xf numFmtId="0" fontId="0" fillId="0" borderId="0" xfId="0" applyAlignment="1">
      <alignment horizontal="center" wrapText="1"/>
    </xf>
    <xf numFmtId="0" fontId="23" fillId="16" borderId="27" xfId="0" applyFont="1" applyFill="1" applyBorder="1" applyAlignment="1">
      <alignment horizontal="center" vertical="center"/>
    </xf>
    <xf numFmtId="0" fontId="23" fillId="16" borderId="0" xfId="0" applyFont="1" applyFill="1" applyAlignment="1">
      <alignment horizontal="center" vertical="center"/>
    </xf>
    <xf numFmtId="0" fontId="24" fillId="18" borderId="45" xfId="0" applyFont="1" applyFill="1" applyBorder="1" applyAlignment="1">
      <alignment horizontal="center" vertical="center" readingOrder="1"/>
    </xf>
    <xf numFmtId="0" fontId="24" fillId="18" borderId="36" xfId="0" applyFont="1" applyFill="1" applyBorder="1" applyAlignment="1">
      <alignment horizontal="center" vertical="center" readingOrder="1"/>
    </xf>
    <xf numFmtId="0" fontId="24" fillId="18" borderId="44" xfId="0" applyFont="1" applyFill="1" applyBorder="1" applyAlignment="1">
      <alignment horizontal="center" vertical="center" readingOrder="1"/>
    </xf>
    <xf numFmtId="0" fontId="48" fillId="29" borderId="98" xfId="0" applyFont="1" applyFill="1" applyBorder="1" applyAlignment="1">
      <alignment horizontal="center" vertical="center" wrapText="1" readingOrder="1"/>
    </xf>
    <xf numFmtId="0" fontId="48" fillId="29" borderId="38" xfId="0" applyFont="1" applyFill="1" applyBorder="1" applyAlignment="1">
      <alignment horizontal="center" vertical="center" wrapText="1" readingOrder="1"/>
    </xf>
    <xf numFmtId="0" fontId="24" fillId="18" borderId="46" xfId="0" applyFont="1" applyFill="1" applyBorder="1" applyAlignment="1">
      <alignment horizontal="center" vertical="center" readingOrder="1"/>
    </xf>
    <xf numFmtId="0" fontId="24" fillId="18" borderId="38" xfId="0" applyFont="1" applyFill="1" applyBorder="1" applyAlignment="1">
      <alignment horizontal="center" vertical="center" readingOrder="1"/>
    </xf>
    <xf numFmtId="0" fontId="24" fillId="18" borderId="39" xfId="0" applyFont="1" applyFill="1" applyBorder="1" applyAlignment="1">
      <alignment horizontal="center" vertical="center" readingOrder="1"/>
    </xf>
    <xf numFmtId="0" fontId="24" fillId="18" borderId="41" xfId="0" applyFont="1" applyFill="1" applyBorder="1" applyAlignment="1">
      <alignment horizontal="center" vertical="center" readingOrder="1"/>
    </xf>
    <xf numFmtId="0" fontId="25" fillId="0" borderId="27" xfId="0" applyFont="1" applyBorder="1" applyAlignment="1">
      <alignment horizontal="center" vertical="center" wrapText="1"/>
    </xf>
    <xf numFmtId="0" fontId="22" fillId="0" borderId="9" xfId="0" applyFont="1" applyBorder="1" applyAlignment="1">
      <alignment horizontal="center" vertical="center"/>
    </xf>
    <xf numFmtId="0" fontId="22" fillId="0" borderId="0" xfId="0" applyFont="1" applyAlignment="1">
      <alignment horizontal="center" vertical="center"/>
    </xf>
    <xf numFmtId="0" fontId="27" fillId="22" borderId="29" xfId="0" applyFont="1" applyFill="1" applyBorder="1" applyAlignment="1">
      <alignment horizontal="center" vertical="center" wrapText="1" readingOrder="1"/>
    </xf>
    <xf numFmtId="0" fontId="27" fillId="13" borderId="29" xfId="0" applyFont="1" applyFill="1" applyBorder="1" applyAlignment="1">
      <alignment horizontal="center" vertical="center" wrapText="1" readingOrder="1"/>
    </xf>
    <xf numFmtId="0" fontId="24" fillId="18" borderId="43" xfId="0" applyFont="1" applyFill="1" applyBorder="1" applyAlignment="1">
      <alignment horizontal="center" vertical="center" readingOrder="1"/>
    </xf>
    <xf numFmtId="0" fontId="27" fillId="21" borderId="29" xfId="0" applyFont="1" applyFill="1" applyBorder="1" applyAlignment="1">
      <alignment horizontal="center" vertical="center"/>
    </xf>
    <xf numFmtId="0" fontId="27" fillId="21" borderId="30" xfId="0" applyFont="1" applyFill="1" applyBorder="1" applyAlignment="1">
      <alignment horizontal="center" vertical="center"/>
    </xf>
    <xf numFmtId="0" fontId="27" fillId="21" borderId="29" xfId="0" applyFont="1" applyFill="1" applyBorder="1" applyAlignment="1">
      <alignment horizontal="center" vertical="center" readingOrder="1"/>
    </xf>
    <xf numFmtId="0" fontId="27" fillId="21" borderId="60" xfId="0" applyFont="1" applyFill="1" applyBorder="1" applyAlignment="1">
      <alignment horizontal="center" vertical="center" readingOrder="1"/>
    </xf>
    <xf numFmtId="0" fontId="23" fillId="7" borderId="27" xfId="0" applyFont="1" applyFill="1" applyBorder="1" applyAlignment="1">
      <alignment horizontal="center" vertical="center" wrapText="1" readingOrder="1"/>
    </xf>
    <xf numFmtId="0" fontId="23" fillId="7" borderId="0" xfId="0" applyFont="1" applyFill="1" applyAlignment="1">
      <alignment horizontal="center" vertical="center" wrapText="1" readingOrder="1"/>
    </xf>
    <xf numFmtId="0" fontId="27" fillId="21" borderId="28" xfId="0" applyFont="1" applyFill="1" applyBorder="1" applyAlignment="1">
      <alignment horizontal="center" vertical="center" readingOrder="1"/>
    </xf>
    <xf numFmtId="0" fontId="27" fillId="21" borderId="30" xfId="0" applyFont="1" applyFill="1" applyBorder="1" applyAlignment="1">
      <alignment horizontal="center" vertical="center" readingOrder="1"/>
    </xf>
    <xf numFmtId="0" fontId="14" fillId="18" borderId="96" xfId="0" applyFont="1" applyFill="1" applyBorder="1" applyAlignment="1">
      <alignment readingOrder="1"/>
    </xf>
    <xf numFmtId="0" fontId="14" fillId="18" borderId="100" xfId="0" applyFont="1" applyFill="1" applyBorder="1" applyAlignment="1">
      <alignment readingOrder="1"/>
    </xf>
    <xf numFmtId="0" fontId="14" fillId="18" borderId="92" xfId="0" applyFont="1" applyFill="1" applyBorder="1" applyAlignment="1">
      <alignment readingOrder="1"/>
    </xf>
    <xf numFmtId="0" fontId="12" fillId="6" borderId="88" xfId="0" applyFont="1" applyFill="1" applyBorder="1" applyAlignment="1">
      <alignment vertical="center" readingOrder="1"/>
    </xf>
    <xf numFmtId="0" fontId="12" fillId="6" borderId="89" xfId="0" applyFont="1" applyFill="1" applyBorder="1" applyAlignment="1">
      <alignment vertical="center" readingOrder="1"/>
    </xf>
    <xf numFmtId="0" fontId="12" fillId="6" borderId="90" xfId="0" applyFont="1" applyFill="1" applyBorder="1" applyAlignment="1">
      <alignment vertical="center" readingOrder="1"/>
    </xf>
    <xf numFmtId="0" fontId="48" fillId="29" borderId="91" xfId="0" applyFont="1" applyFill="1" applyBorder="1" applyAlignment="1">
      <alignment horizontal="center" vertical="center" wrapText="1" readingOrder="1"/>
    </xf>
    <xf numFmtId="0" fontId="48" fillId="29" borderId="37" xfId="0" applyFont="1" applyFill="1" applyBorder="1" applyAlignment="1">
      <alignment horizontal="center" vertical="center" wrapText="1" readingOrder="1"/>
    </xf>
    <xf numFmtId="0" fontId="48" fillId="29" borderId="92" xfId="0" applyFont="1" applyFill="1" applyBorder="1" applyAlignment="1">
      <alignment horizontal="center" vertical="center" wrapText="1" readingOrder="1"/>
    </xf>
    <xf numFmtId="0" fontId="14" fillId="18" borderId="91" xfId="0" applyFont="1" applyFill="1" applyBorder="1" applyAlignment="1">
      <alignment readingOrder="1"/>
    </xf>
    <xf numFmtId="0" fontId="14" fillId="18" borderId="37" xfId="0" applyFont="1" applyFill="1" applyBorder="1" applyAlignment="1">
      <alignment readingOrder="1"/>
    </xf>
    <xf numFmtId="0" fontId="14" fillId="18" borderId="93" xfId="0" applyFont="1" applyFill="1" applyBorder="1" applyAlignment="1">
      <alignment readingOrder="1"/>
    </xf>
    <xf numFmtId="0" fontId="13" fillId="31" borderId="113" xfId="0" applyFont="1" applyFill="1" applyBorder="1" applyAlignment="1">
      <alignment horizontal="center" readingOrder="1"/>
    </xf>
    <xf numFmtId="0" fontId="13" fillId="31" borderId="0" xfId="0" applyFont="1" applyFill="1" applyAlignment="1">
      <alignment horizontal="center" readingOrder="1"/>
    </xf>
    <xf numFmtId="0" fontId="12" fillId="6" borderId="104" xfId="0" applyFont="1" applyFill="1" applyBorder="1" applyAlignment="1">
      <alignment vertical="center" readingOrder="1"/>
    </xf>
    <xf numFmtId="0" fontId="12" fillId="6" borderId="36" xfId="0" applyFont="1" applyFill="1" applyBorder="1" applyAlignment="1">
      <alignment vertical="center" readingOrder="1"/>
    </xf>
    <xf numFmtId="0" fontId="12" fillId="6" borderId="105" xfId="0" applyFont="1" applyFill="1" applyBorder="1" applyAlignment="1">
      <alignment vertical="center" readingOrder="1"/>
    </xf>
    <xf numFmtId="0" fontId="48" fillId="29" borderId="99" xfId="0" applyFont="1" applyFill="1" applyBorder="1" applyAlignment="1">
      <alignment horizontal="center" vertical="center" wrapText="1" readingOrder="1"/>
    </xf>
    <xf numFmtId="0" fontId="14" fillId="18" borderId="98" xfId="0" applyFont="1" applyFill="1" applyBorder="1" applyAlignment="1">
      <alignment readingOrder="1"/>
    </xf>
    <xf numFmtId="0" fontId="14" fillId="18" borderId="39" xfId="0" applyFont="1" applyFill="1" applyBorder="1" applyAlignment="1">
      <alignment readingOrder="1"/>
    </xf>
    <xf numFmtId="0" fontId="14" fillId="18" borderId="41" xfId="0" applyFont="1" applyFill="1" applyBorder="1" applyAlignment="1">
      <alignment readingOrder="1"/>
    </xf>
    <xf numFmtId="0" fontId="14" fillId="18" borderId="99" xfId="0" applyFont="1" applyFill="1" applyBorder="1" applyAlignment="1">
      <alignment readingOrder="1"/>
    </xf>
    <xf numFmtId="0" fontId="13" fillId="31" borderId="113" xfId="0" applyFont="1" applyFill="1" applyBorder="1" applyAlignment="1">
      <alignment horizontal="center" vertical="center" readingOrder="1"/>
    </xf>
    <xf numFmtId="0" fontId="13" fillId="31" borderId="0" xfId="0" applyFont="1" applyFill="1" applyAlignment="1">
      <alignment horizontal="center" vertical="center" readingOrder="1"/>
    </xf>
    <xf numFmtId="0" fontId="13" fillId="31" borderId="36" xfId="0" applyFont="1" applyFill="1" applyBorder="1" applyAlignment="1">
      <alignment horizontal="center" vertical="center" readingOrder="1"/>
    </xf>
    <xf numFmtId="0" fontId="13" fillId="18" borderId="104" xfId="0" applyFont="1" applyFill="1" applyBorder="1" applyAlignment="1">
      <alignment vertical="center" readingOrder="1"/>
    </xf>
    <xf numFmtId="0" fontId="13" fillId="18" borderId="36" xfId="0" applyFont="1" applyFill="1" applyBorder="1" applyAlignment="1">
      <alignment vertical="center" readingOrder="1"/>
    </xf>
    <xf numFmtId="0" fontId="13" fillId="18" borderId="105" xfId="0" applyFont="1" applyFill="1" applyBorder="1" applyAlignment="1">
      <alignment vertical="center" readingOrder="1"/>
    </xf>
    <xf numFmtId="0" fontId="14" fillId="18" borderId="98" xfId="0" applyFont="1" applyFill="1" applyBorder="1" applyAlignment="1">
      <alignment vertical="center" readingOrder="1"/>
    </xf>
    <xf numFmtId="0" fontId="14" fillId="18" borderId="38" xfId="0" applyFont="1" applyFill="1" applyBorder="1" applyAlignment="1">
      <alignment vertical="center" readingOrder="1"/>
    </xf>
    <xf numFmtId="0" fontId="14" fillId="18" borderId="39" xfId="0" applyFont="1" applyFill="1" applyBorder="1" applyAlignment="1">
      <alignment vertical="center" readingOrder="1"/>
    </xf>
    <xf numFmtId="0" fontId="14" fillId="18" borderId="41" xfId="0" applyFont="1" applyFill="1" applyBorder="1" applyAlignment="1">
      <alignment vertical="center" readingOrder="1"/>
    </xf>
    <xf numFmtId="0" fontId="14" fillId="18" borderId="99" xfId="0" applyFont="1" applyFill="1" applyBorder="1" applyAlignment="1">
      <alignment vertical="center" readingOrder="1"/>
    </xf>
    <xf numFmtId="0" fontId="13" fillId="6" borderId="88" xfId="0" applyFont="1" applyFill="1" applyBorder="1" applyAlignment="1">
      <alignment readingOrder="1"/>
    </xf>
    <xf numFmtId="0" fontId="13" fillId="6" borderId="89" xfId="0" applyFont="1" applyFill="1" applyBorder="1" applyAlignment="1">
      <alignment readingOrder="1"/>
    </xf>
    <xf numFmtId="0" fontId="13" fillId="6" borderId="90" xfId="0" applyFont="1" applyFill="1" applyBorder="1" applyAlignment="1">
      <alignment readingOrder="1"/>
    </xf>
    <xf numFmtId="0" fontId="14" fillId="18" borderId="131" xfId="0" applyFont="1" applyFill="1" applyBorder="1" applyAlignment="1">
      <alignment horizontal="center" vertical="center" readingOrder="1"/>
    </xf>
    <xf numFmtId="0" fontId="14" fillId="18" borderId="132" xfId="0" applyFont="1" applyFill="1" applyBorder="1" applyAlignment="1">
      <alignment horizontal="center" vertical="center" readingOrder="1"/>
    </xf>
    <xf numFmtId="0" fontId="14" fillId="18" borderId="133" xfId="0" applyFont="1" applyFill="1" applyBorder="1" applyAlignment="1">
      <alignment horizontal="center" vertical="center" readingOrder="1"/>
    </xf>
    <xf numFmtId="0" fontId="13" fillId="18" borderId="127" xfId="0" applyFont="1" applyFill="1" applyBorder="1" applyAlignment="1">
      <alignment horizontal="center" vertical="center" wrapText="1" readingOrder="1"/>
    </xf>
    <xf numFmtId="0" fontId="13" fillId="18" borderId="36" xfId="0" applyFont="1" applyFill="1" applyBorder="1" applyAlignment="1">
      <alignment horizontal="center" vertical="center" wrapText="1" readingOrder="1"/>
    </xf>
    <xf numFmtId="0" fontId="13" fillId="18" borderId="128" xfId="0" applyFont="1" applyFill="1" applyBorder="1" applyAlignment="1">
      <alignment horizontal="center" vertical="center" wrapText="1" readingOrder="1"/>
    </xf>
    <xf numFmtId="0" fontId="14" fillId="18" borderId="134" xfId="0" applyFont="1" applyFill="1" applyBorder="1" applyAlignment="1">
      <alignment horizontal="center" vertical="center" readingOrder="1"/>
    </xf>
    <xf numFmtId="0" fontId="14" fillId="18" borderId="135" xfId="0" applyFont="1" applyFill="1" applyBorder="1" applyAlignment="1">
      <alignment horizontal="center" vertical="center" readingOrder="1"/>
    </xf>
    <xf numFmtId="0" fontId="8" fillId="8" borderId="125" xfId="0" applyFont="1" applyFill="1" applyBorder="1" applyAlignment="1">
      <alignment horizontal="center" vertical="center" readingOrder="1"/>
    </xf>
    <xf numFmtId="0" fontId="5" fillId="0" borderId="3" xfId="1" applyBorder="1" applyAlignment="1">
      <alignment horizontal="center" vertical="center"/>
    </xf>
    <xf numFmtId="0" fontId="5" fillId="0" borderId="5" xfId="1" applyBorder="1" applyAlignment="1">
      <alignment horizontal="center" vertical="center"/>
    </xf>
    <xf numFmtId="0" fontId="5" fillId="0" borderId="6" xfId="1" applyBorder="1" applyAlignment="1">
      <alignment horizontal="center" vertical="center"/>
    </xf>
    <xf numFmtId="0" fontId="0" fillId="0" borderId="16" xfId="0" applyBorder="1" applyAlignment="1">
      <alignment horizontal="center" vertical="center"/>
    </xf>
    <xf numFmtId="0" fontId="42" fillId="14" borderId="2" xfId="0" applyFont="1" applyFill="1" applyBorder="1" applyAlignment="1">
      <alignment horizontal="center" vertical="center" readingOrder="1"/>
    </xf>
    <xf numFmtId="21" fontId="42" fillId="0" borderId="2" xfId="0" applyNumberFormat="1" applyFont="1" applyBorder="1" applyAlignment="1">
      <alignment horizontal="center" vertical="center" readingOrder="1"/>
    </xf>
    <xf numFmtId="0" fontId="42" fillId="0" borderId="2" xfId="0" applyFont="1" applyBorder="1" applyAlignment="1">
      <alignment horizontal="center" vertical="center" readingOrder="1"/>
    </xf>
    <xf numFmtId="0" fontId="42" fillId="13" borderId="2" xfId="0" applyFont="1" applyFill="1" applyBorder="1" applyAlignment="1">
      <alignment horizontal="center" vertical="center" readingOrder="1"/>
    </xf>
    <xf numFmtId="0" fontId="42" fillId="0" borderId="2" xfId="0" applyFont="1" applyBorder="1" applyAlignment="1">
      <alignment vertical="center" wrapText="1" readingOrder="1"/>
    </xf>
    <xf numFmtId="0" fontId="31" fillId="24" borderId="34" xfId="0" applyFont="1" applyFill="1" applyBorder="1" applyAlignment="1">
      <alignment horizontal="center" vertical="center" wrapText="1"/>
    </xf>
    <xf numFmtId="0" fontId="31" fillId="24" borderId="0" xfId="0" applyFont="1" applyFill="1" applyAlignment="1">
      <alignment horizontal="center" vertical="center" wrapText="1"/>
    </xf>
    <xf numFmtId="0" fontId="14" fillId="18" borderId="144" xfId="0" applyFont="1" applyFill="1" applyBorder="1" applyAlignment="1">
      <alignment wrapText="1" readingOrder="1"/>
    </xf>
    <xf numFmtId="0" fontId="14" fillId="18" borderId="141" xfId="0" applyFont="1" applyFill="1" applyBorder="1" applyAlignment="1">
      <alignment wrapText="1" readingOrder="1"/>
    </xf>
    <xf numFmtId="0" fontId="14" fillId="18" borderId="143" xfId="0" applyFont="1" applyFill="1" applyBorder="1" applyAlignment="1">
      <alignment wrapText="1" readingOrder="1"/>
    </xf>
    <xf numFmtId="0" fontId="13" fillId="18" borderId="104" xfId="0" applyFont="1" applyFill="1" applyBorder="1" applyAlignment="1">
      <alignment wrapText="1" readingOrder="1"/>
    </xf>
    <xf numFmtId="0" fontId="13" fillId="18" borderId="36" xfId="0" applyFont="1" applyFill="1" applyBorder="1" applyAlignment="1">
      <alignment wrapText="1" readingOrder="1"/>
    </xf>
    <xf numFmtId="0" fontId="13" fillId="18" borderId="128" xfId="0" applyFont="1" applyFill="1" applyBorder="1" applyAlignment="1">
      <alignment wrapText="1" readingOrder="1"/>
    </xf>
    <xf numFmtId="0" fontId="48" fillId="29" borderId="98" xfId="0" applyFont="1" applyFill="1" applyBorder="1" applyAlignment="1">
      <alignment wrapText="1" readingOrder="1"/>
    </xf>
    <xf numFmtId="0" fontId="48" fillId="29" borderId="38" xfId="0" applyFont="1" applyFill="1" applyBorder="1" applyAlignment="1">
      <alignment wrapText="1" readingOrder="1"/>
    </xf>
    <xf numFmtId="0" fontId="48" fillId="29" borderId="99" xfId="0" applyFont="1" applyFill="1" applyBorder="1" applyAlignment="1">
      <alignment wrapText="1" readingOrder="1"/>
    </xf>
    <xf numFmtId="0" fontId="14" fillId="18" borderId="146" xfId="0" applyFont="1" applyFill="1" applyBorder="1" applyAlignment="1">
      <alignment readingOrder="1"/>
    </xf>
    <xf numFmtId="0" fontId="52" fillId="32" borderId="137" xfId="0" applyFont="1" applyFill="1" applyBorder="1" applyAlignment="1">
      <alignment vertical="center" wrapText="1" readingOrder="1"/>
    </xf>
    <xf numFmtId="0" fontId="52" fillId="32" borderId="138" xfId="0" applyFont="1" applyFill="1" applyBorder="1" applyAlignment="1">
      <alignment vertical="center" wrapText="1" readingOrder="1"/>
    </xf>
    <xf numFmtId="0" fontId="52" fillId="32" borderId="139" xfId="0" applyFont="1" applyFill="1" applyBorder="1" applyAlignment="1">
      <alignment vertical="center" wrapText="1" readingOrder="1"/>
    </xf>
    <xf numFmtId="0" fontId="14" fillId="18" borderId="140" xfId="0" applyFont="1" applyFill="1" applyBorder="1" applyAlignment="1">
      <alignment wrapText="1" readingOrder="1"/>
    </xf>
    <xf numFmtId="0" fontId="12" fillId="6" borderId="113" xfId="0" applyFont="1" applyFill="1" applyBorder="1" applyAlignment="1">
      <alignment horizontal="center" vertical="center" readingOrder="1"/>
    </xf>
    <xf numFmtId="0" fontId="12" fillId="6" borderId="36" xfId="0" applyFont="1" applyFill="1" applyBorder="1" applyAlignment="1">
      <alignment horizontal="center" vertical="center" readingOrder="1"/>
    </xf>
    <xf numFmtId="0" fontId="12" fillId="6" borderId="104" xfId="0" applyFont="1" applyFill="1" applyBorder="1" applyAlignment="1">
      <alignment readingOrder="1"/>
    </xf>
    <xf numFmtId="0" fontId="12" fillId="6" borderId="36" xfId="0" applyFont="1" applyFill="1" applyBorder="1" applyAlignment="1">
      <alignment readingOrder="1"/>
    </xf>
    <xf numFmtId="0" fontId="12" fillId="6" borderId="105" xfId="0" applyFont="1" applyFill="1" applyBorder="1" applyAlignment="1">
      <alignment readingOrder="1"/>
    </xf>
  </cellXfs>
  <cellStyles count="2">
    <cellStyle name="Hyperlink" xfId="1" xr:uid="{00000000-000B-0000-0000-000008000000}"/>
    <cellStyle name="Normal" xfId="0" builtinId="0"/>
  </cellStyles>
  <dxfs count="916">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theme="7" tint="0.59996337778862885"/>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theme="7" tint="0.59996337778862885"/>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theme="7" tint="0.59996337778862885"/>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theme="7" tint="0.59996337778862885"/>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C299E3"/>
        </patternFill>
      </fill>
    </dxf>
    <dxf>
      <fill>
        <patternFill>
          <bgColor theme="7" tint="0.59996337778862885"/>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7" tint="0.59996337778862885"/>
        </patternFill>
      </fill>
    </dxf>
    <dxf>
      <fill>
        <patternFill>
          <bgColor theme="9"/>
        </patternFill>
      </fill>
    </dxf>
    <dxf>
      <fill>
        <patternFill>
          <bgColor rgb="FFC299E3"/>
        </patternFill>
      </fill>
    </dxf>
    <dxf>
      <fill>
        <patternFill>
          <bgColor theme="7" tint="0.59996337778862885"/>
        </patternFill>
      </fill>
    </dxf>
    <dxf>
      <fill>
        <patternFill>
          <bgColor theme="7" tint="0.59996337778862885"/>
        </patternFill>
      </fill>
    </dxf>
    <dxf>
      <fill>
        <patternFill>
          <bgColor rgb="FFC299E3"/>
        </patternFill>
      </fill>
    </dxf>
    <dxf>
      <fill>
        <patternFill>
          <bgColor theme="7" tint="0.59996337778862885"/>
        </patternFill>
      </fill>
    </dxf>
    <dxf>
      <fill>
        <patternFill>
          <bgColor rgb="FFFD6767"/>
        </patternFill>
      </fill>
    </dxf>
    <dxf>
      <fill>
        <patternFill>
          <bgColor theme="9" tint="0.79998168889431442"/>
        </patternFill>
      </fill>
    </dxf>
    <dxf>
      <fill>
        <patternFill>
          <bgColor theme="7" tint="0.39994506668294322"/>
        </patternFill>
      </fill>
    </dxf>
    <dxf>
      <fill>
        <patternFill>
          <bgColor theme="8" tint="0.39994506668294322"/>
        </patternFill>
      </fill>
    </dxf>
    <dxf>
      <fill>
        <patternFill>
          <bgColor theme="9"/>
        </patternFill>
      </fill>
    </dxf>
  </dxfs>
  <tableStyles count="0" defaultTableStyle="TableStyleMedium2" defaultPivotStyle="PivotStyleLight16"/>
  <colors>
    <mruColors>
      <color rgb="FFB15AC4"/>
      <color rgb="FFFCC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633A3B30-89E7-40A3-B0DF-C9DA473275E4}">
    <Anchor>
      <Comment id="{E30AB017-E9A3-44B2-B73D-6CD474694623}"/>
    </Anchor>
    <History>
      <Event time="2024-01-17T18:10:17.79" id="{0BF5F03B-1FA8-4E92-ABB3-729E4B52449B}">
        <Attribution userId="S::paula.conceicao@univesp.br::099808b5-075b-4b84-be35-0e262dedb5a5" userName="Paula de Lima Conceicao" userProvider="AD"/>
        <Anchor>
          <Comment id="{E30AB017-E9A3-44B2-B73D-6CD474694623}"/>
        </Anchor>
        <Create/>
      </Event>
      <Event time="2024-01-17T18:10:17.79" id="{F6C29B8D-DAD5-4586-BBC5-416E37D14EC8}">
        <Attribution userId="S::paula.conceicao@univesp.br::099808b5-075b-4b84-be35-0e262dedb5a5" userName="Paula de Lima Conceicao" userProvider="AD"/>
        <Anchor>
          <Comment id="{E30AB017-E9A3-44B2-B73D-6CD474694623}"/>
        </Anchor>
        <Assign userId="S::lucas.ferreira@tv.univesp.br::c04835ad-9b66-4d05-9d3e-6249bae7c82f" userName="Lucas Barbosa Ferreira" userProvider="AD"/>
      </Event>
      <Event time="2024-01-17T18:10:17.79" id="{AAAAAF32-C10B-40EA-AB4A-EF4ACD054C9C}">
        <Attribution userId="S::paula.conceicao@univesp.br::099808b5-075b-4b84-be35-0e262dedb5a5" userName="Paula de Lima Conceicao" userProvider="AD"/>
        <Anchor>
          <Comment id="{E30AB017-E9A3-44B2-B73D-6CD474694623}"/>
        </Anchor>
        <SetTitle title="@Lucas @Larissa links iguais"/>
      </Event>
      <Event time="2024-01-23T13:30:46.65" id="{0CF52300-2B7C-4713-A726-7FDF9D79C7D7}">
        <Attribution userId="S::paula.conceicao@univesp.br::099808b5-075b-4b84-be35-0e262dedb5a5" userName="Paula de Lima Conceicao" userProvider="AD"/>
        <Progress percentComplete="100"/>
      </Event>
    </History>
  </Task>
</Tasks>
</file>

<file path=xl/documenttasks/documenttask2.xml><?xml version="1.0" encoding="utf-8"?>
<Tasks xmlns="http://schemas.microsoft.com/office/tasks/2019/documenttasks">
  <Task id="{B9F9DD01-04EC-43A1-A640-92A242E4B4F9}">
    <Anchor>
      <Comment id="{0FA33FB8-E32E-4B63-A1AE-9D938F6031E1}"/>
    </Anchor>
    <History>
      <Event time="2024-04-12T18:21:32.65" id="{98E36E98-E785-4371-8E03-EC3081B571CE}">
        <Attribution userId="S::paula.conceicao@univesp.br::099808b5-075b-4b84-be35-0e262dedb5a5" userName="Paula de Lima Conceicao" userProvider="AD"/>
        <Anchor>
          <Comment id="{E42A6A61-3684-4E04-A4C0-704107E38A32}"/>
        </Anchor>
        <Create/>
      </Event>
      <Event time="2024-04-12T18:21:32.65" id="{A7B229B5-1E88-4539-BF6E-C505256644B1}">
        <Attribution userId="S::paula.conceicao@univesp.br::099808b5-075b-4b84-be35-0e262dedb5a5" userName="Paula de Lima Conceicao" userProvider="AD"/>
        <Anchor>
          <Comment id="{E42A6A61-3684-4E04-A4C0-704107E38A32}"/>
        </Anchor>
        <Assign userId="S::thiago.scabbia@univesp.br::7f726121-739d-4b58-8e32-341ebc792ee4" userName="Thiago Nunes Scabbia" userProvider="AD"/>
      </Event>
      <Event time="2024-04-12T18:21:32.65" id="{9BD59A55-C231-40D1-9B07-59E365C6FED4}">
        <Attribution userId="S::paula.conceicao@univesp.br::099808b5-075b-4b84-be35-0e262dedb5a5" userName="Paula de Lima Conceicao" userProvider="AD"/>
        <Anchor>
          <Comment id="{E42A6A61-3684-4E04-A4C0-704107E38A32}"/>
        </Anchor>
        <SetTitle title="@Thiago atualiza essa videoaula por favor?"/>
      </Event>
      <Event time="2024-04-17T21:01:51.21" id="{0CC16B5C-0161-4C47-B74B-67E7697F331A}">
        <Attribution userId="S::thiago.scabbia@univesp.br::7f726121-739d-4b58-8e32-341ebc792ee4" userName="Thiago Nunes Scabbia" userProvider="AD"/>
        <Progress percentComplete="100"/>
      </Event>
    </History>
  </Task>
  <Task id="{573BC584-8ABF-4B79-B5BF-09F3A9CB1438}">
    <Anchor>
      <Comment id="{7504F6CE-FBD0-444F-97AD-93488391AE2F}"/>
    </Anchor>
    <History>
      <Event time="2024-04-12T18:20:10.05" id="{DA373AAD-F98E-47DB-AA3B-5EE80A1998CD}">
        <Attribution userId="S::paula.conceicao@univesp.br::099808b5-075b-4b84-be35-0e262dedb5a5" userName="Paula de Lima Conceicao" userProvider="AD"/>
        <Anchor>
          <Comment id="{D35C52CB-F94C-4ECA-8389-639B52F2B452}"/>
        </Anchor>
        <Create/>
      </Event>
      <Event time="2024-04-12T18:20:10.05" id="{5F371E18-B5E5-43F8-9751-2FE3AB464C8E}">
        <Attribution userId="S::paula.conceicao@univesp.br::099808b5-075b-4b84-be35-0e262dedb5a5" userName="Paula de Lima Conceicao" userProvider="AD"/>
        <Anchor>
          <Comment id="{D35C52CB-F94C-4ECA-8389-639B52F2B452}"/>
        </Anchor>
        <Assign userId="S::celso.pmagalhaesf@univesp.br::b6a54b3f-4958-42c5-af04-76b588b5ebcb" userName="Celso Pinheiro Magalhaes Filho" userProvider="AD"/>
      </Event>
      <Event time="2024-04-12T18:20:10.05" id="{23BD75E8-08DE-42F9-9256-B75B1A03096E}">
        <Attribution userId="S::paula.conceicao@univesp.br::099808b5-075b-4b84-be35-0e262dedb5a5" userName="Paula de Lima Conceicao" userProvider="AD"/>
        <Anchor>
          <Comment id="{D35C52CB-F94C-4ECA-8389-639B52F2B452}"/>
        </Anchor>
        <SetTitle title="@Celso atualiza essas videoaulas em amarelo, por favor?"/>
      </Event>
    </History>
  </Task>
  <Task id="{8F3887C5-7CE9-4285-87F2-7026ACFC0462}">
    <Anchor>
      <Comment id="{73B1A3F1-0F2B-4566-9263-957395A72603}"/>
    </Anchor>
    <History>
      <Event time="2024-04-17T20:18:11.91" id="{D88FA18D-7492-4034-816E-8CB949C08EAC}">
        <Attribution userId="S::paula.conceicao@univesp.br::099808b5-075b-4b84-be35-0e262dedb5a5" userName="Paula de Lima Conceicao" userProvider="AD"/>
        <Anchor>
          <Comment id="{0FB3ED38-1738-40F0-B8AF-947EC66B0E5D}"/>
        </Anchor>
        <Create/>
      </Event>
      <Event time="2024-04-17T20:18:11.91" id="{7537E40F-9A65-42D0-8E7D-4DB30E3F2F13}">
        <Attribution userId="S::paula.conceicao@univesp.br::099808b5-075b-4b84-be35-0e262dedb5a5" userName="Paula de Lima Conceicao" userProvider="AD"/>
        <Anchor>
          <Comment id="{0FB3ED38-1738-40F0-B8AF-947EC66B0E5D}"/>
        </Anchor>
        <Assign userId="S::thiago.scabbia@univesp.br::7f726121-739d-4b58-8e32-341ebc792ee4" userName="Thiago Nunes Scabbia" userProvider="AD"/>
      </Event>
      <Event time="2024-04-17T20:18:11.91" id="{EFA94A52-23BB-4280-868F-5D0E7110BA31}">
        <Attribution userId="S::paula.conceicao@univesp.br::099808b5-075b-4b84-be35-0e262dedb5a5" userName="Paula de Lima Conceicao" userProvider="AD"/>
        <Anchor>
          <Comment id="{0FB3ED38-1738-40F0-B8AF-947EC66B0E5D}"/>
        </Anchor>
        <SetTitle title="@Thiago atualiza essas videoaulas por favor? assim que finalizar, responda aqui."/>
      </Event>
      <Event time="2024-04-17T21:01:03.99" id="{429A2B12-0676-43BF-9340-6B54E39A5561}">
        <Attribution userId="S::thiago.scabbia@univesp.br::7f726121-739d-4b58-8e32-341ebc792ee4" userName="Thiago Nunes Scabbia" userProvider="AD"/>
        <Progress percentComplete="100"/>
      </Event>
    </History>
  </Task>
  <Task id="{A63013DA-DB92-46B6-B325-1CAD3F4A1607}">
    <Anchor>
      <Comment id="{93B07D8F-2BFC-47A1-A828-9482CC2028EA}"/>
    </Anchor>
    <History>
      <Event time="2024-04-17T20:22:48.72" id="{7A1FFDAC-55FC-4245-94DF-59988860029B}">
        <Attribution userId="S::paula.conceicao@univesp.br::099808b5-075b-4b84-be35-0e262dedb5a5" userName="Paula de Lima Conceicao" userProvider="AD"/>
        <Anchor>
          <Comment id="{B54B5A78-AE5E-459E-856B-75AC7A9EADDF}"/>
        </Anchor>
        <Create/>
      </Event>
      <Event time="2024-04-17T20:22:48.72" id="{96126A53-685D-402B-B97C-5054E9D5D4E8}">
        <Attribution userId="S::paula.conceicao@univesp.br::099808b5-075b-4b84-be35-0e262dedb5a5" userName="Paula de Lima Conceicao" userProvider="AD"/>
        <Anchor>
          <Comment id="{B54B5A78-AE5E-459E-856B-75AC7A9EADDF}"/>
        </Anchor>
        <Assign userId="S::valeria.bastos@univesp.br::621fdbb1-7d38-44b9-992c-b3ddab5019cb" userName="Valeria Bastos" userProvider="AD"/>
      </Event>
      <Event time="2024-04-17T20:22:48.72" id="{AABCC993-874D-4B84-AAAD-89DA1FEEC81B}">
        <Attribution userId="S::paula.conceicao@univesp.br::099808b5-075b-4b84-be35-0e262dedb5a5" userName="Paula de Lima Conceicao" userProvider="AD"/>
        <Anchor>
          <Comment id="{B54B5A78-AE5E-459E-856B-75AC7A9EADDF}"/>
        </Anchor>
        <SetTitle title="@Valeria atualiza essa videoaula por favor? quando finalizar responda aqui."/>
      </Event>
    </History>
  </Task>
</Tasks>
</file>

<file path=xl/documenttasks/documenttask3.xml><?xml version="1.0" encoding="utf-8"?>
<Tasks xmlns="http://schemas.microsoft.com/office/tasks/2019/documenttasks">
  <Task id="{C3A6E541-3461-4FC8-8833-2C2FD27E4B5E}">
    <Anchor>
      <Comment id="{9389A33D-E24E-4752-828F-C64C730758DA}"/>
    </Anchor>
    <History>
      <Event time="2024-08-12T18:54:41.64" id="{05584D20-EE2E-418B-948E-CDA93E345586}">
        <Attribution userId="S::paula.conceicao@univesp.br::099808b5-075b-4b84-be35-0e262dedb5a5" userName="Paula de Lima Conceicao" userProvider="AD"/>
        <Anchor>
          <Comment id="{9389A33D-E24E-4752-828F-C64C730758DA}"/>
        </Anchor>
        <Create/>
      </Event>
      <Event time="2024-08-12T18:54:41.64" id="{91CCD9B9-2DAB-42F0-B75C-2EA345288F00}">
        <Attribution userId="S::paula.conceicao@univesp.br::099808b5-075b-4b84-be35-0e262dedb5a5" userName="Paula de Lima Conceicao" userProvider="AD"/>
        <Anchor>
          <Comment id="{9389A33D-E24E-4752-828F-C64C730758DA}"/>
        </Anchor>
        <Assign userId="S::larissa.santos@tv.univesp.br::d2802d1f-0a5c-4aae-b5b4-53c50a581471" userName="Larissa Marcela dos Santos" userProvider="AD"/>
      </Event>
      <Event time="2024-08-12T18:54:41.64" id="{1C5EDFBF-4BA4-4C11-8124-35CB17C79102}">
        <Attribution userId="S::paula.conceicao@univesp.br::099808b5-075b-4b84-be35-0e262dedb5a5" userName="Paula de Lima Conceicao" userProvider="AD"/>
        <Anchor>
          <Comment id="{9389A33D-E24E-4752-828F-C64C730758DA}"/>
        </Anchor>
        <SetTitle title="@Larissa Marcela dos Santos o link das aulas 2 e 3 estão iguais"/>
      </Event>
    </History>
  </Task>
  <Task id="{98E0365C-81D7-4C06-AEBF-9B19972FFAE6}">
    <Anchor>
      <Comment id="{C6CF55A1-7893-4E69-AEE0-FE71F653CBF1}"/>
    </Anchor>
    <History>
      <Event time="2024-09-26T19:39:28.37" id="{30B788F0-28BE-4740-8479-F5B3AC160674}">
        <Attribution userId="S::larissa.santos@tv.univesp.br::d2802d1f-0a5c-4aae-b5b4-53c50a581471" userName="Larissa Marcela dos Santos" userProvider="AD"/>
        <Anchor>
          <Comment id="{DF0E9F69-ABB8-427B-90B9-CB5BB291D917}"/>
        </Anchor>
        <Create/>
      </Event>
      <Event time="2024-09-26T19:39:28.37" id="{37F868E2-E14D-497A-9207-E556961E0952}">
        <Attribution userId="S::larissa.santos@tv.univesp.br::d2802d1f-0a5c-4aae-b5b4-53c50a581471" userName="Larissa Marcela dos Santos" userProvider="AD"/>
        <Anchor>
          <Comment id="{DF0E9F69-ABB8-427B-90B9-CB5BB291D917}"/>
        </Anchor>
        <Assign userId="S::paula.suzart@tv.univesp.br::099808b5-075b-4b84-be35-0e262dedb5a5" userName="Paula de Lima Suzart" userProvider="AD"/>
      </Event>
      <Event time="2024-09-26T19:39:28.37" id="{56A2F592-D183-4D17-A3EE-A0150707556D}">
        <Attribution userId="S::larissa.santos@tv.univesp.br::d2802d1f-0a5c-4aae-b5b4-53c50a581471" userName="Larissa Marcela dos Santos" userProvider="AD"/>
        <Anchor>
          <Comment id="{DF0E9F69-ABB8-427B-90B9-CB5BB291D917}"/>
        </Anchor>
        <SetTitle title="@Paula de Lima Suzart link trocado o anterior estava com o título da aula incorreto na vht"/>
      </Event>
    </History>
  </Task>
  <Task id="{6BB2BB8C-E9A6-4850-999B-5416D6045EDA}">
    <Anchor>
      <Comment id="{7E33669E-E350-4ECB-9B07-85EA78F295BA}"/>
    </Anchor>
    <History>
      <Event time="2024-09-27T18:35:17.49" id="{9DE941F3-0A8E-4C18-8122-AA5D7F1C2923}">
        <Attribution userId="S::larissa.santos@tv.univesp.br::d2802d1f-0a5c-4aae-b5b4-53c50a581471" userName="Larissa Marcela dos Santos" userProvider="AD"/>
        <Anchor>
          <Comment id="{7E33669E-E350-4ECB-9B07-85EA78F295BA}"/>
        </Anchor>
        <Create/>
      </Event>
      <Event time="2024-09-27T18:35:17.49" id="{646F57EA-632C-47F1-86B9-CC52DF87B10A}">
        <Attribution userId="S::larissa.santos@tv.univesp.br::d2802d1f-0a5c-4aae-b5b4-53c50a581471" userName="Larissa Marcela dos Santos" userProvider="AD"/>
        <Anchor>
          <Comment id="{7E33669E-E350-4ECB-9B07-85EA78F295BA}"/>
        </Anchor>
        <Assign userId="S::paula.suzart@tv.univesp.br::099808b5-075b-4b84-be35-0e262dedb5a5" userName="Paula de Lima Suzart" userProvider="AD"/>
      </Event>
      <Event time="2024-09-27T18:35:17.49" id="{37C01E50-2A93-4DE7-B639-E4D22680182F}">
        <Attribution userId="S::larissa.santos@tv.univesp.br::d2802d1f-0a5c-4aae-b5b4-53c50a581471" userName="Larissa Marcela dos Santos" userProvider="AD"/>
        <Anchor>
          <Comment id="{7E33669E-E350-4ECB-9B07-85EA78F295BA}"/>
        </Anchor>
        <SetTitle title="@Paula de Lima Suzart"/>
      </Event>
    </History>
  </Task>
  <Task id="{A2B7B1D4-78D6-4F2F-951F-7FB33F553A8A}">
    <Anchor>
      <Comment id="{CFD77154-CBD3-49EA-A522-F91FC16F8EEF}"/>
    </Anchor>
    <History>
      <Event time="2024-09-26T16:47:36.92" id="{FC3058B8-418F-426A-AC93-DD07C7919C0A}">
        <Attribution userId="S::larissa.santos@tv.univesp.br::d2802d1f-0a5c-4aae-b5b4-53c50a581471" userName="Larissa Marcela dos Santos" userProvider="AD"/>
        <Anchor>
          <Comment id="{CA41137C-CF25-4B6F-B17D-A0D02437D459}"/>
        </Anchor>
        <Create/>
      </Event>
      <Event time="2024-09-26T16:47:36.92" id="{133698E1-5864-40D9-BB53-6A804524DCB1}">
        <Attribution userId="S::larissa.santos@tv.univesp.br::d2802d1f-0a5c-4aae-b5b4-53c50a581471" userName="Larissa Marcela dos Santos" userProvider="AD"/>
        <Anchor>
          <Comment id="{CA41137C-CF25-4B6F-B17D-A0D02437D459}"/>
        </Anchor>
        <Assign userId="S::paula.suzart@tv.univesp.br::099808b5-075b-4b84-be35-0e262dedb5a5" userName="Paula de Lima Suzart" userProvider="AD"/>
      </Event>
      <Event time="2024-09-26T16:47:36.92" id="{82CD845F-D8AF-47A8-B833-7621FDE85B85}">
        <Attribution userId="S::larissa.santos@tv.univesp.br::d2802d1f-0a5c-4aae-b5b4-53c50a581471" userName="Larissa Marcela dos Santos" userProvider="AD"/>
        <Anchor>
          <Comment id="{CA41137C-CF25-4B6F-B17D-A0D02437D459}"/>
        </Anchor>
        <SetTitle title="@Paula de Lima Suzart link trocado o anterior deu erro na conversão e não estava completo"/>
      </Event>
    </History>
  </Task>
  <Task id="{13BFF2ED-026A-4D29-BB10-F4C0F118F603}">
    <Anchor>
      <Comment id="{66E775D5-0D52-402E-B12D-665367F8181B}"/>
    </Anchor>
    <History>
      <Event time="2024-09-27T18:37:17.30" id="{C4B1E211-3128-468C-B9C8-F586DF385C38}">
        <Attribution userId="S::larissa.santos@tv.univesp.br::d2802d1f-0a5c-4aae-b5b4-53c50a581471" userName="Larissa Marcela dos Santos" userProvider="AD"/>
        <Anchor>
          <Comment id="{06A05080-3557-4B14-9890-07A3F989A9CE}"/>
        </Anchor>
        <Create/>
      </Event>
      <Event time="2024-09-27T18:37:17.30" id="{A9991999-B175-4394-BE9D-F15A3418F77C}">
        <Attribution userId="S::larissa.santos@tv.univesp.br::d2802d1f-0a5c-4aae-b5b4-53c50a581471" userName="Larissa Marcela dos Santos" userProvider="AD"/>
        <Anchor>
          <Comment id="{06A05080-3557-4B14-9890-07A3F989A9CE}"/>
        </Anchor>
        <Assign userId="S::paula.suzart@tv.univesp.br::099808b5-075b-4b84-be35-0e262dedb5a5" userName="Paula de Lima Suzart" userProvider="AD"/>
      </Event>
      <Event time="2024-09-27T18:37:17.30" id="{3D7A3896-33BA-4543-AC75-02069E351911}">
        <Attribution userId="S::larissa.santos@tv.univesp.br::d2802d1f-0a5c-4aae-b5b4-53c50a581471" userName="Larissa Marcela dos Santos" userProvider="AD"/>
        <Anchor>
          <Comment id="{06A05080-3557-4B14-9890-07A3F989A9CE}"/>
        </Anchor>
        <SetTitle title="@Paula de Lima Suzart"/>
      </Event>
    </History>
  </Task>
  <Task id="{E1B41DF2-8ABA-4495-AF96-747DBA603761}">
    <Anchor>
      <Comment id="{53059942-8CC6-49D7-B446-CAD70BA5E958}"/>
    </Anchor>
    <History>
      <Event time="2024-09-18T19:00:51.37" id="{461DC0BB-422D-4EE1-AE70-088908A32FB3}">
        <Attribution userId="S::larissa.santos@tv.univesp.br::d2802d1f-0a5c-4aae-b5b4-53c50a581471" userName="Larissa Marcela dos Santos" userProvider="AD"/>
        <Anchor>
          <Comment id="{80B7F9D7-E11A-4808-80E7-5BC4DCB0D93D}"/>
        </Anchor>
        <Create/>
      </Event>
      <Event time="2024-09-18T19:00:51.37" id="{1F960114-EFFB-4728-A1D7-DD7CC5392766}">
        <Attribution userId="S::larissa.santos@tv.univesp.br::d2802d1f-0a5c-4aae-b5b4-53c50a581471" userName="Larissa Marcela dos Santos" userProvider="AD"/>
        <Anchor>
          <Comment id="{80B7F9D7-E11A-4808-80E7-5BC4DCB0D93D}"/>
        </Anchor>
        <Assign userId="S::wesley.lima@univesp.br::0959f9de-c1cc-45d4-b45f-c09b06dfa045" userName="Wesley de Souza Lima" userProvider="AD"/>
      </Event>
      <Event time="2024-09-18T19:00:51.37" id="{5852C03C-A845-4F59-BACB-DDC23FDFFD62}">
        <Attribution userId="S::larissa.santos@tv.univesp.br::d2802d1f-0a5c-4aae-b5b4-53c50a581471" userName="Larissa Marcela dos Santos" userProvider="AD"/>
        <Anchor>
          <Comment id="{80B7F9D7-E11A-4808-80E7-5BC4DCB0D93D}"/>
        </Anchor>
        <SetTitle title="@Wesley de Souza Lima link trocado, feita alteração pedida pela professora"/>
      </Event>
    </History>
  </Task>
</Tasks>
</file>

<file path=xl/documenttasks/documenttask4.xml><?xml version="1.0" encoding="utf-8"?>
<Tasks xmlns="http://schemas.microsoft.com/office/tasks/2019/documenttasks">
  <Task id="{2D81895D-831D-4D3F-A784-E497DA6F4FF1}">
    <Anchor>
      <Comment id="{76A68303-8A44-40C7-87FD-78E1A41AFF14}"/>
    </Anchor>
    <History>
      <Event time="2024-07-01T14:40:32.89" id="{3CD61841-EC5E-44FE-83BD-213327855E69}">
        <Attribution userId="S::ligia.balista@univesp.br::4fe9d96e-f1c6-40ad-b96a-c0d209c78a96" userName="Ligia Rodrigues Balista" userProvider="AD"/>
        <Anchor>
          <Comment id="{76A68303-8A44-40C7-87FD-78E1A41AFF14}"/>
        </Anchor>
        <Create/>
      </Event>
      <Event time="2024-07-01T14:40:32.89" id="{83461391-5CDF-4CEF-A1DB-D4870241286D}">
        <Attribution userId="S::ligia.balista@univesp.br::4fe9d96e-f1c6-40ad-b96a-c0d209c78a96" userName="Ligia Rodrigues Balista" userProvider="AD"/>
        <Anchor>
          <Comment id="{76A68303-8A44-40C7-87FD-78E1A41AFF14}"/>
        </Anchor>
        <Assign userId="S::paula.conceicao@univesp.br::099808b5-075b-4b84-be35-0e262dedb5a5" userName="Paula de Lima Conceicao" userProvider="AD"/>
      </Event>
      <Event time="2024-07-01T14:40:32.89" id="{CD6211BE-97F2-4CF7-BE46-FE4EA8F2CAAC}">
        <Attribution userId="S::ligia.balista@univesp.br::4fe9d96e-f1c6-40ad-b96a-c0d209c78a96" userName="Ligia Rodrigues Balista" userProvider="AD"/>
        <Anchor>
          <Comment id="{76A68303-8A44-40C7-87FD-78E1A41AFF14}"/>
        </Anchor>
        <SetTitle title="@Paula de Lima Conceicao , pelo que vi no AVA o link para videoaula da quinzena 2 com audiodescrição não está ainda lá."/>
      </Event>
    </History>
  </Task>
</Tasks>
</file>

<file path=xl/documenttasks/documenttask5.xml><?xml version="1.0" encoding="utf-8"?>
<Tasks xmlns="http://schemas.microsoft.com/office/tasks/2019/documenttasks">
  <Task id="{1F691A7E-4965-47C4-9135-C5BD100F92F3}">
    <Anchor>
      <Comment id="{EF230A74-FD14-4674-A31C-0E0ED2B1BB31}"/>
    </Anchor>
    <History>
      <Event time="2024-09-18T18:58:09.71" id="{27E0D3E6-434F-4180-B060-63A3B88A4593}">
        <Attribution userId="S::larissa.santos@tv.univesp.br::d2802d1f-0a5c-4aae-b5b4-53c50a581471" userName="Larissa Marcela dos Santos" userProvider="AD"/>
        <Anchor>
          <Comment id="{9671BC33-890E-4A61-9FBA-D63CD24E0560}"/>
        </Anchor>
        <Create/>
      </Event>
      <Event time="2024-09-18T18:58:09.71" id="{146DE86C-DA30-40EE-A706-FE16AACD3A00}">
        <Attribution userId="S::larissa.santos@tv.univesp.br::d2802d1f-0a5c-4aae-b5b4-53c50a581471" userName="Larissa Marcela dos Santos" userProvider="AD"/>
        <Anchor>
          <Comment id="{9671BC33-890E-4A61-9FBA-D63CD24E0560}"/>
        </Anchor>
        <Assign userId="S::wesley.lima@univesp.br::0959f9de-c1cc-45d4-b45f-c09b06dfa045" userName="Wesley de Souza Lima" userProvider="AD"/>
      </Event>
      <Event time="2024-09-18T18:58:09.71" id="{F4F5D19C-A69F-4E02-9C9C-68CB8E7F716F}">
        <Attribution userId="S::larissa.santos@tv.univesp.br::d2802d1f-0a5c-4aae-b5b4-53c50a581471" userName="Larissa Marcela dos Santos" userProvider="AD"/>
        <Anchor>
          <Comment id="{9671BC33-890E-4A61-9FBA-D63CD24E0560}"/>
        </Anchor>
        <SetTitle title="@Wesley de Souza Lima este link precisou ser trocado"/>
      </Event>
      <Event time="2024-09-19T13:29:15.56" id="{65EA6557-5A3E-41E3-8B45-7EECDD283D0D}">
        <Attribution userId="S::wesley.lima@univesp.br::0959f9de-c1cc-45d4-b45f-c09b06dfa045" userName="Wesley de Souza Lim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Wesley de Souza Lima" id="{FAFAC3B1-BCB2-4CCD-8399-1061921B262D}" userId="wesley.lima@univesp.br" providerId="PeoplePicker"/>
  <person displayName="Thais dos Reis" id="{06CDC1AC-A700-4848-A252-750C3B504025}" userId="thais.reis@tv.univesp.br" providerId="PeoplePicker"/>
  <person displayName="Alfredo Salvador Vieira Coelho" id="{9F8BFD04-E1A0-472F-BBDE-0398436CA7C5}" userId="alfredo.coelho@univesp.br" providerId="PeoplePicker"/>
  <person displayName="Thiago Nunes Scabbia" id="{1A839BE2-E5C0-4559-8022-84EBC25C04BD}" userId="thiago.scabbia@univesp.br" providerId="PeoplePicker"/>
  <person displayName="Valeria Bastos" id="{F831847F-6CEB-4D3B-81F1-F2725421FC7D}" userId="valeria.bastos@univesp.br" providerId="PeoplePicker"/>
  <person displayName="Paula de Lima Conceicao" id="{977C7849-A637-4CFF-99ED-DDA849F71BB4}" userId="paula.conceicao@univesp.br" providerId="PeoplePicker"/>
  <person displayName="Paula de Lima Suzart" id="{7430C736-E12B-4625-9728-798023ED24D7}" userId="paula.suzart@tv.univesp.br" providerId="PeoplePicker"/>
  <person displayName="Raquel Farias dos Santos" id="{52772C2E-A4A9-4FA6-B399-E80F2F57E840}" userId="raquel.santos@tv.univesp.br" providerId="PeoplePicker"/>
  <person displayName="Celso Pinheiro Magalhaes Filho" id="{72D14A3C-A611-465A-BBED-A966CB13BC8E}" userId="celso.pmagalhaesf@univesp.br" providerId="PeoplePicker"/>
  <person displayName="Larissa Marcela dos Santos" id="{5C06E0FD-BB27-4D4E-ADC6-A73B1523C3A7}" userId="larissa.santos@tv.univesp.br" providerId="PeoplePicker"/>
  <person displayName="Lucas Barbosa Ferreira" id="{FB1FBE17-6A0C-4F10-BA05-60C79005BDA4}" userId="lucas.ferreira@tv.univesp.br" providerId="PeoplePicker"/>
  <person displayName="Wesley de Souza Lima" id="{C298E7F8-184F-4545-B16A-2FCAE76073EA}" userId="S::wesley.lima@univesp.br::0959f9de-c1cc-45d4-b45f-c09b06dfa045" providerId="AD"/>
  <person displayName="Ligia Rodrigues Balista" id="{B6D0FB8D-8A0D-4EA2-8D6F-6379B072E149}" userId="S::ligia.balista@univesp.br::4fe9d96e-f1c6-40ad-b96a-c0d209c78a96" providerId="AD"/>
  <person displayName="Thais dos Reis" id="{68206565-0EBE-402D-9F1D-64A9D110BADE}" userId="S::thais.reis@tv.univesp.br::86ec7e20-4727-4dc8-b5e5-97e09318c3c8" providerId="AD"/>
  <person displayName="Alfredo Salvador Vieira Coelho" id="{87BE63EA-BB84-4E65-8534-8752D513FE4D}" userId="S::alfredo.coelho@univesp.br::11943eb5-c98f-4b65-b64c-c7f1e126a6a7" providerId="AD"/>
  <person displayName="Thiago Nunes Scabbia" id="{363D8B8F-1F3D-4855-8E95-7E03663784E2}" userId="S::thiago.scabbia@univesp.br::7f726121-739d-4b58-8e32-341ebc792ee4" providerId="AD"/>
  <person displayName="Paula de Lima Conceicao" id="{7B60078E-F0A4-4431-BF7F-481026F8F336}" userId="S::paula.conceicao@univesp.br::099808b5-075b-4b84-be35-0e262dedb5a5" providerId="AD"/>
  <person displayName="Pedro Santos" id="{42DD0429-0678-4B03-B537-42ED2D6C7B1C}" userId="S::pedro.santos@tv.univesp.br::2bad2d58-e3ab-413f-afac-16b968e67834" providerId="AD"/>
  <person displayName="Celso Pinheiro Magalhaes Filho" id="{058FA402-9191-4707-A960-86276813427F}" userId="S::celso.pmagalhaesf@univesp.br::b6a54b3f-4958-42c5-af04-76b588b5ebcb" providerId="AD"/>
  <person displayName="Larissa Marcela dos Santos" id="{5C673E53-5491-4D87-9DAA-F37983F41F1E}" userId="S::larissa.santos@tv.univesp.br::d2802d1f-0a5c-4aae-b5b4-53c50a58147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51" dT="2024-04-12T18:03:57.04" personId="{68206565-0EBE-402D-9F1D-64A9D110BADE}" id="{D0FB067A-2161-49A7-905C-53CE43626ED5}">
    <text>ID anterior 2390P013546 (trecho duplicado)</text>
  </threadedComment>
  <threadedComment ref="K53" dT="2024-08-26T19:08:04.80" personId="{42DD0429-0678-4B03-B537-42ED2D6C7B1C}" id="{AF6BDBC2-CB9F-4354-A3BE-9E9F8A26C5FF}">
    <text>ID ANTIGO: 2390P013596 (som baixo)</text>
  </threadedComment>
  <threadedComment ref="K54" dT="2024-08-26T19:08:46.11" personId="{42DD0429-0678-4B03-B537-42ED2D6C7B1C}" id="{6E1BB05C-5F8B-4C26-ACC4-2B8A9DA33D73}">
    <text>ID ANTIGO: 2390P013917 (som baixo)</text>
  </threadedComment>
  <threadedComment ref="K55" dT="2024-08-26T19:10:49.72" personId="{42DD0429-0678-4B03-B537-42ED2D6C7B1C}" id="{1B519FC2-1765-4CA3-82D9-ACC32FBADAD5}">
    <text>ID ANTIGO: 2390P013576 (som baixo)</text>
  </threadedComment>
  <threadedComment ref="K56" dT="2024-08-26T19:11:24.91" personId="{42DD0429-0678-4B03-B537-42ED2D6C7B1C}" id="{87502CF5-E813-45E4-ACEE-251F682142D6}">
    <text>ID ANTIGO: 2390P013577 (som baixo)</text>
  </threadedComment>
  <threadedComment ref="K57" dT="2023-12-20T18:44:23.25" personId="{42DD0429-0678-4B03-B537-42ED2D6C7B1C}" id="{5515AFC6-FD08-4E63-BCF3-65E6BD3D2C49}">
    <text>ID ANTIGO: 2390P013578</text>
  </threadedComment>
  <threadedComment ref="K57" dT="2024-08-26T19:12:21.40" personId="{42DD0429-0678-4B03-B537-42ED2D6C7B1C}" id="{B9C748DD-C1BD-4640-8B83-64FAF978E068}" parentId="{5515AFC6-FD08-4E63-BCF3-65E6BD3D2C49}">
    <text>ID ANTERIOR: 2390P013742 (som baixo)</text>
  </threadedComment>
  <threadedComment ref="K58" dT="2024-08-26T19:12:59.17" personId="{42DD0429-0678-4B03-B537-42ED2D6C7B1C}" id="{BDD3111E-27C7-4AB4-AE72-7119ECF7ED86}">
    <text>ID ANTIGO: 2390P013579 (som baixo)</text>
  </threadedComment>
  <threadedComment ref="K59" dT="2024-08-26T19:14:24.14" personId="{42DD0429-0678-4B03-B537-42ED2D6C7B1C}" id="{E11D612A-0F56-4EB2-885A-025B0B3D1C15}">
    <text>ID ANTIGO: 2390P013580 (som baixo)</text>
  </threadedComment>
  <threadedComment ref="K60" dT="2024-08-26T19:15:19.36" personId="{42DD0429-0678-4B03-B537-42ED2D6C7B1C}" id="{F00853A2-3603-4440-9994-DCEFF40394DD}">
    <text>ID ANTIGO: 2390P013581 (som baixo)</text>
  </threadedComment>
  <threadedComment ref="K61" dT="2024-08-26T19:15:35.30" personId="{42DD0429-0678-4B03-B537-42ED2D6C7B1C}" id="{E9692231-1E2C-4C3D-BFA6-6F49D38C09DE}">
    <text>ID ANTIGO: 2390P013582 (som baixo)</text>
  </threadedComment>
  <threadedComment ref="K62" dT="2024-08-26T19:15:52.55" personId="{42DD0429-0678-4B03-B537-42ED2D6C7B1C}" id="{0E3988F5-950D-4EFB-A132-EB3E02E2FD61}">
    <text>ID ANTIGO: 2390P013583 (som baixo)</text>
  </threadedComment>
  <threadedComment ref="K63" dT="2024-08-26T19:16:05.13" personId="{42DD0429-0678-4B03-B537-42ED2D6C7B1C}" id="{641345C2-570F-46EA-ACF0-8476974D5DA7}">
    <text>ID ANTIGO: 2390P013584 (som baixo)</text>
  </threadedComment>
  <threadedComment ref="G64" dT="2024-01-17T18:10:18.49" personId="{7B60078E-F0A4-4431-BF7F-481026F8F336}" id="{E30AB017-E9A3-44B2-B73D-6CD474694623}" done="1">
    <text>@Lucas @Larissa links iguais</text>
    <mentions>
      <mention mentionpersonId="{FB1FBE17-6A0C-4F10-BA05-60C79005BDA4}" mentionId="{04B35A8B-68D0-4C5B-8D0B-7D09958E5E4A}" startIndex="0" length="6"/>
      <mention mentionpersonId="{5C06E0FD-BB27-4D4E-ADC6-A73B1523C3A7}" mentionId="{1CD3ACA6-11A1-4C54-A91C-61C8646A0366}" startIndex="7" length="8"/>
    </mentions>
  </threadedComment>
  <threadedComment ref="G64" dT="2024-01-23T11:39:50.87" personId="{5C673E53-5491-4D87-9DAA-F37983F41F1E}" id="{CBB5F61A-0BA9-4DC1-BBEB-CC37B77D143D}" parentId="{E30AB017-E9A3-44B2-B73D-6CD474694623}">
    <text>OK, corrigindo.</text>
  </threadedComment>
  <threadedComment ref="K64" dT="2024-08-26T19:16:17.27" personId="{42DD0429-0678-4B03-B537-42ED2D6C7B1C}" id="{56CB243B-2BB0-4710-97BD-4FEDFE5E7C16}">
    <text>ID ANTIGO: 2390P013585 (som baixo)</text>
  </threadedComment>
  <threadedComment ref="K65" dT="2024-08-26T19:16:30.53" personId="{42DD0429-0678-4B03-B537-42ED2D6C7B1C}" id="{1F0E82DB-2F0B-4538-8B1E-394B8E586BB6}">
    <text>ID ANTIGO: 2390P013586 (som baixo)</text>
  </threadedComment>
  <threadedComment ref="K66" dT="2024-08-26T19:16:43.91" personId="{42DD0429-0678-4B03-B537-42ED2D6C7B1C}" id="{9265D4AD-615F-4B51-B274-3647CE9EFCB9}">
    <text>ID ANTIGO: 2390P013587 (som baixo)</text>
  </threadedComment>
  <threadedComment ref="K67" dT="2024-08-26T19:16:57.17" personId="{42DD0429-0678-4B03-B537-42ED2D6C7B1C}" id="{F544B39C-343A-426F-B90D-AF4D64CB954A}">
    <text>ID ANTIGO: 2390P013588 (som baixo)</text>
  </threadedComment>
  <threadedComment ref="K68" dT="2024-08-26T19:17:11.42" personId="{42DD0429-0678-4B03-B537-42ED2D6C7B1C}" id="{423709E2-0443-40DA-A26B-8F9A9466E099}">
    <text>ID ANTIGO: 2390P013589 (som baixo)</text>
  </threadedComment>
  <threadedComment ref="K69" dT="2024-08-26T19:17:45.08" personId="{42DD0429-0678-4B03-B537-42ED2D6C7B1C}" id="{3F856430-8422-4985-B335-F9B6FC9E200F}">
    <text>ID ANTIGO: 2390P014156 (som baixo)</text>
  </threadedComment>
  <threadedComment ref="K70" dT="2024-08-26T19:18:20.58" personId="{42DD0429-0678-4B03-B537-42ED2D6C7B1C}" id="{72D5DCED-BCAF-404A-929C-F83B36786675}">
    <text>ID ANTIGO: 2390P014179 (som baixo)</text>
  </threadedComment>
  <threadedComment ref="K71" dT="2024-08-26T19:18:58.90" personId="{42DD0429-0678-4B03-B537-42ED2D6C7B1C}" id="{770BA34A-6BAA-40D4-93DA-797A97146382}">
    <text>ID ANTIGO: 2390P014180 (som baixo)</text>
  </threadedComment>
  <threadedComment ref="K72" dT="2024-08-26T19:19:29.19" personId="{42DD0429-0678-4B03-B537-42ED2D6C7B1C}" id="{51B4324C-DD4A-482E-808B-3AD8774A16A9}">
    <text>ID ANTIGO: 2390P013593 (som baixo)</text>
  </threadedComment>
  <threadedComment ref="K73" dT="2024-08-26T19:20:49.81" personId="{42DD0429-0678-4B03-B537-42ED2D6C7B1C}" id="{39119CCA-FCFF-48C2-8ADB-DB7DDAD4C3B3}">
    <text>ID ANTIGO: 2390P013991 (som baixo)</text>
  </threadedComment>
</ThreadedComments>
</file>

<file path=xl/threadedComments/threadedComment2.xml><?xml version="1.0" encoding="utf-8"?>
<ThreadedComments xmlns="http://schemas.microsoft.com/office/spreadsheetml/2018/threadedcomments" xmlns:x="http://schemas.openxmlformats.org/spreadsheetml/2006/main">
  <threadedComment ref="K33" dT="2023-12-20T19:00:33.38" personId="{42DD0429-0678-4B03-B537-42ED2D6C7B1C}" id="{42ACD7D4-E5D0-4AD0-A3F6-1EFDC720D8D2}">
    <text>ID ANTIGO: 2390P013605</text>
  </threadedComment>
  <threadedComment ref="G41" dT="2024-04-12T19:27:05.45" personId="{5C673E53-5491-4D87-9DAA-F37983F41F1E}" id="{93B07D8F-2BFC-47A1-A828-9482CC2028EA}">
    <text xml:space="preserve">@Paula de Lima Conceicao </text>
    <mentions>
      <mention mentionpersonId="{977C7849-A637-4CFF-99ED-DDA849F71BB4}" mentionId="{6D77C81A-8D9C-4559-8C44-5FD9BC768001}" startIndex="0" length="24"/>
    </mentions>
  </threadedComment>
  <threadedComment ref="G41" dT="2024-04-17T20:22:48.61" personId="{7B60078E-F0A4-4431-BF7F-481026F8F336}" id="{B54B5A78-AE5E-459E-856B-75AC7A9EADDF}" parentId="{93B07D8F-2BFC-47A1-A828-9482CC2028EA}">
    <text>@Valeria atualiza essa videoaula por favor? quando finalizar responda aqui.</text>
    <mentions>
      <mention mentionpersonId="{F831847F-6CEB-4D3B-81F1-F2725421FC7D}" mentionId="{B142B4C7-2D8B-49F6-8A67-96E94A3A9E72}" startIndex="0" length="8"/>
    </mentions>
  </threadedComment>
  <threadedComment ref="K41" dT="2024-04-04T22:40:49.92" personId="{68206565-0EBE-402D-9F1D-64A9D110BADE}" id="{9B46A110-D084-46C6-A228-FF84C43786B9}">
    <text>ID anterior 2390P013613</text>
  </threadedComment>
  <threadedComment ref="K74" dT="2024-03-27T17:36:38.79" personId="{68206565-0EBE-402D-9F1D-64A9D110BADE}" id="{C58C16EB-C5F2-4FBA-A6F2-FB08D7DE0571}">
    <text>antigo ID 2390P013720</text>
  </threadedComment>
  <threadedComment ref="G75" dT="2024-04-11T20:07:05.43" personId="{5C673E53-5491-4D87-9DAA-F37983F41F1E}" id="{7504F6CE-FBD0-444F-97AD-93488391AE2F}">
    <text xml:space="preserve">@Paula de Lima Conceicao </text>
    <mentions>
      <mention mentionpersonId="{977C7849-A637-4CFF-99ED-DDA849F71BB4}" mentionId="{50580CD0-3912-415B-B35E-D57CCB2D073E}" startIndex="0" length="24"/>
    </mentions>
  </threadedComment>
  <threadedComment ref="G75" dT="2024-04-12T18:20:10.20" personId="{7B60078E-F0A4-4431-BF7F-481026F8F336}" id="{D35C52CB-F94C-4ECA-8389-639B52F2B452}" parentId="{7504F6CE-FBD0-444F-97AD-93488391AE2F}">
    <text xml:space="preserve">@Celso atualiza essas videoaulas em amarelo, por favor? </text>
    <mentions>
      <mention mentionpersonId="{72D14A3C-A611-465A-BBED-A966CB13BC8E}" mentionId="{A52555AA-AA32-447F-B96C-82B2E1D5983E}" startIndex="0" length="6"/>
    </mentions>
  </threadedComment>
  <threadedComment ref="G75" dT="2024-04-15T12:53:31.07" personId="{058FA402-9191-4707-A960-86276813427F}" id="{CD3CF1A9-EBA9-4780-A942-AE2FB84D6AFE}" parentId="{7504F6CE-FBD0-444F-97AD-93488391AE2F}">
    <text>Links substituídos</text>
  </threadedComment>
  <threadedComment ref="K75" dT="2024-04-04T22:37:53.72" personId="{68206565-0EBE-402D-9F1D-64A9D110BADE}" id="{3D3974B4-4800-4020-B33A-F48E32DE5769}">
    <text>ID anterior 2390P013721</text>
  </threadedComment>
  <threadedComment ref="G76" dT="2024-04-11T20:11:09.30" personId="{5C673E53-5491-4D87-9DAA-F37983F41F1E}" id="{EE1DF159-43FA-4F42-8FD1-BB8222D715F2}">
    <text xml:space="preserve">@Paula de Lima Conceicao </text>
    <mentions>
      <mention mentionpersonId="{977C7849-A637-4CFF-99ED-DDA849F71BB4}" mentionId="{5AB2BF41-2851-4784-9926-64A71E3CEFF6}" startIndex="0" length="24"/>
    </mentions>
  </threadedComment>
  <threadedComment ref="K76" dT="2024-04-04T22:38:16.72" personId="{68206565-0EBE-402D-9F1D-64A9D110BADE}" id="{941E9F58-58D1-4F71-9AAB-4531F8F39631}">
    <text>ID anterior 2390P013722</text>
  </threadedComment>
  <threadedComment ref="G87" dT="2024-04-10T15:07:24.60" personId="{5C673E53-5491-4D87-9DAA-F37983F41F1E}" id="{B3A10D94-2BC2-4309-A418-400868CEA866}">
    <text xml:space="preserve">@Paula de Lima Conceicao </text>
    <mentions>
      <mention mentionpersonId="{977C7849-A637-4CFF-99ED-DDA849F71BB4}" mentionId="{36C1879D-E4F2-43A8-B8A6-9B29097ED61C}" startIndex="0" length="24"/>
    </mentions>
  </threadedComment>
  <threadedComment ref="G100" dT="2024-04-16T17:01:03.27" personId="{5C673E53-5491-4D87-9DAA-F37983F41F1E}" id="{73B1A3F1-0F2B-4566-9263-957395A72603}" done="1">
    <text xml:space="preserve">@Paula de Lima Conceicao </text>
    <mentions>
      <mention mentionpersonId="{977C7849-A637-4CFF-99ED-DDA849F71BB4}" mentionId="{3DF3B3F0-9454-4E23-98EA-D5AEA457719A}" startIndex="0" length="24"/>
    </mentions>
  </threadedComment>
  <threadedComment ref="G100" dT="2024-04-17T20:18:12.10" personId="{7B60078E-F0A4-4431-BF7F-481026F8F336}" id="{0FB3ED38-1738-40F0-B8AF-947EC66B0E5D}" parentId="{73B1A3F1-0F2B-4566-9263-957395A72603}">
    <text>@Thiago atualiza essas videoaulas por favor? assim que finalizar, responda aqui.</text>
    <mentions>
      <mention mentionpersonId="{1A839BE2-E5C0-4559-8022-84EBC25C04BD}" mentionId="{E41BE03C-4A67-4404-A097-73AD11ECC398}" startIndex="0" length="7"/>
    </mentions>
  </threadedComment>
  <threadedComment ref="G100" dT="2024-04-17T21:01:10.00" personId="{363D8B8F-1F3D-4855-8E95-7E03663784E2}" id="{0914DC7E-DEC7-4117-B54F-99103EB20FCA}" parentId="{73B1A3F1-0F2B-4566-9263-957395A72603}">
    <text>Videoaula atualizada, solicitei ao sidnei para substituir o link de download.</text>
  </threadedComment>
  <threadedComment ref="K100" dT="2024-04-04T22:29:49.32" personId="{68206565-0EBE-402D-9F1D-64A9D110BADE}" id="{C7978552-DC09-4ADF-82BA-60925CA1C632}">
    <text>ID anterior 2390P014313</text>
  </threadedComment>
  <threadedComment ref="G107" dT="2024-04-12T17:25:34.55" personId="{5C673E53-5491-4D87-9DAA-F37983F41F1E}" id="{0FA33FB8-E32E-4B63-A1AE-9D938F6031E1}" done="1">
    <text xml:space="preserve">@Paula de Lima Conceicao </text>
    <mentions>
      <mention mentionpersonId="{977C7849-A637-4CFF-99ED-DDA849F71BB4}" mentionId="{105A0E60-8C31-4051-AB23-D50743852775}" startIndex="0" length="24"/>
    </mentions>
  </threadedComment>
  <threadedComment ref="G107" dT="2024-04-12T18:21:32.86" personId="{7B60078E-F0A4-4431-BF7F-481026F8F336}" id="{E42A6A61-3684-4E04-A4C0-704107E38A32}" parentId="{0FA33FB8-E32E-4B63-A1AE-9D938F6031E1}">
    <text>@Thiago atualiza essa videoaula por favor?</text>
    <mentions>
      <mention mentionpersonId="{1A839BE2-E5C0-4559-8022-84EBC25C04BD}" mentionId="{473AB520-CB8E-4E0F-8E4E-E31F88EFD15E}" startIndex="0" length="7"/>
    </mentions>
  </threadedComment>
  <threadedComment ref="G107" dT="2024-04-17T21:01:57.37" personId="{363D8B8F-1F3D-4855-8E95-7E03663784E2}" id="{CBE7B6B7-AB1C-4AEE-88BA-5D8F1BF3855D}" parentId="{0FA33FB8-E32E-4B63-A1AE-9D938F6031E1}">
    <text>Videoaula atualizada, solicitei ao sidnei para atualizar o link de download.</text>
  </threadedComment>
  <threadedComment ref="K107" dT="2024-04-04T22:30:11.03" personId="{68206565-0EBE-402D-9F1D-64A9D110BADE}" id="{116956BF-C782-4E78-9D30-53014AA88201}">
    <text>ID anterior 2390P014148</text>
  </threadedComment>
  <threadedComment ref="K110" dT="2024-04-04T22:32:14.51" personId="{68206565-0EBE-402D-9F1D-64A9D110BADE}" id="{630E363D-1071-4B5E-AAB7-BFDC7BA7F80F}">
    <text>ID anterior 2390P014314</text>
  </threadedComment>
  <threadedComment ref="K125" dT="2024-07-11T20:50:59.44" personId="{68206565-0EBE-402D-9F1D-64A9D110BADE}" id="{BA9ED264-70D1-4B79-9CD4-8A989DFD1860}">
    <text>ID anterior 2390P013656 (no final da aula, áudio fica só no canal 1)</text>
  </threadedComment>
  <threadedComment ref="K125" dT="2024-07-11T20:52:19.89" personId="{68206565-0EBE-402D-9F1D-64A9D110BADE}" id="{960929D6-9B03-4D4D-AF40-6EC4F55790DA}" parentId="{BA9ED264-70D1-4B79-9CD4-8A989DFD1860}">
    <text>@Larissa Marcela dos Santos,te marcando pois aprovei o ID e não sei se você vai querer subir de novo para o YT</text>
    <mentions>
      <mention mentionpersonId="{5C06E0FD-BB27-4D4E-ADC6-A73B1523C3A7}" mentionId="{5DDF5638-67AC-46D6-B909-73E177ABC1FE}" startIndex="0" length="27"/>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K3" dT="2024-05-02T18:10:28.08" personId="{68206565-0EBE-402D-9F1D-64A9D110BADE}" id="{FCC4D161-2137-4C12-928D-031A0BC55EC6}">
    <text>ID anterior 2390P013942 (ruído áudio)</text>
  </threadedComment>
  <threadedComment ref="K4" dT="2024-05-02T18:35:23.40" personId="{68206565-0EBE-402D-9F1D-64A9D110BADE}" id="{08CB3A63-4C78-4D9A-8159-4BF96040FB13}">
    <text>ID ANTIGO 2390P013943 (Ruído áudio)</text>
  </threadedComment>
  <threadedComment ref="K5" dT="2024-05-02T18:36:27.01" personId="{68206565-0EBE-402D-9F1D-64A9D110BADE}" id="{D819DC3F-0ACB-44CA-891C-7890E69FD75D}">
    <text>ID ANTIGO 2390P013944 (Ruído áudio)</text>
  </threadedComment>
  <threadedComment ref="K6" dT="2024-05-02T18:37:32.33" personId="{68206565-0EBE-402D-9F1D-64A9D110BADE}" id="{1BAE575D-E2B2-4FC1-8285-F50460A471B5}">
    <text>ID ANTIGO 2390P013945 (Ruído áudio)</text>
  </threadedComment>
  <threadedComment ref="K7" dT="2024-05-02T18:38:30.05" personId="{68206565-0EBE-402D-9F1D-64A9D110BADE}" id="{F46927D6-05F9-4F3D-A64D-2703C3602720}">
    <text>ID ANTIGO 2390P013946 (Ruído áudio)</text>
  </threadedComment>
  <threadedComment ref="K8" dT="2024-05-02T18:40:07.20" personId="{68206565-0EBE-402D-9F1D-64A9D110BADE}" id="{64D124A3-C972-4685-861E-6A2641DBC4F6}">
    <text>ID ANTIGO 2390P013947 (Ruído áudio)</text>
  </threadedComment>
  <threadedComment ref="K9" dT="2024-05-02T18:41:09.08" personId="{68206565-0EBE-402D-9F1D-64A9D110BADE}" id="{BC48D5B5-9871-4066-9B2E-22AE09EF15FD}">
    <text>ID ANTIGO 2390P013948 (Ruído áudio)</text>
  </threadedComment>
  <threadedComment ref="K10" dT="2024-05-02T18:42:03.17" personId="{68206565-0EBE-402D-9F1D-64A9D110BADE}" id="{AE230D33-2604-40E2-8136-4E5E2097B6AF}">
    <text>ID ANTIGO 2390P013949 (Ruído áudio)</text>
  </threadedComment>
  <threadedComment ref="K11" dT="2024-05-02T18:43:10.43" personId="{68206565-0EBE-402D-9F1D-64A9D110BADE}" id="{6FC7483E-6EBF-4818-AFB2-9F71660AC276}">
    <text>ID ANTIGO 2390P013950 (Ruído áudio)</text>
  </threadedComment>
  <threadedComment ref="K12" dT="2024-05-02T18:44:00.65" personId="{68206565-0EBE-402D-9F1D-64A9D110BADE}" id="{13A3FB10-1845-4702-A95A-E5306B0852D0}">
    <text>ID ANTIGO 2390P013951 (Ruído áudio)</text>
  </threadedComment>
  <threadedComment ref="K13" dT="2024-05-02T18:44:49.94" personId="{68206565-0EBE-402D-9F1D-64A9D110BADE}" id="{0A4F3158-5DDD-4306-99FF-B9DFE12D0634}">
    <text>ID ANTIGO 2390P013952 (Ruído áudio)</text>
  </threadedComment>
  <threadedComment ref="K14" dT="2024-05-02T18:45:56.34" personId="{68206565-0EBE-402D-9F1D-64A9D110BADE}" id="{38C9DFFE-866C-45CE-9979-3F21C817C829}">
    <text>ID ANTIGO 2390P013953 (Ruído áudio)</text>
  </threadedComment>
  <threadedComment ref="K15" dT="2024-05-02T18:47:21.15" personId="{68206565-0EBE-402D-9F1D-64A9D110BADE}" id="{FB8FBC93-F7B2-4D05-930B-0C9145BDF56A}">
    <text>ID ANTIGO 2390P013954 (Ruído áudio)</text>
  </threadedComment>
  <threadedComment ref="K16" dT="2024-05-02T18:48:12.24" personId="{68206565-0EBE-402D-9F1D-64A9D110BADE}" id="{3E3135B0-AFFE-4B9C-AE02-8B421E499EE1}">
    <text>ID ANTIGO 2390P013955 (Ruído áudio)</text>
  </threadedComment>
  <threadedComment ref="K17" dT="2024-05-02T18:49:13.42" personId="{68206565-0EBE-402D-9F1D-64A9D110BADE}" id="{E20F4EED-FF00-4A61-A736-0CFD49CA5E85}">
    <text>ID ANTIGO 2390P013956 (Ruído áudio)</text>
  </threadedComment>
  <threadedComment ref="K18" dT="2024-05-02T18:50:01.28" personId="{68206565-0EBE-402D-9F1D-64A9D110BADE}" id="{3239CF5D-A4DF-4593-BAB6-228E1B3005EE}">
    <text>ID ANTIGO 2390P013957 (Ruído áudio)</text>
  </threadedComment>
  <threadedComment ref="K19" dT="2024-05-02T18:50:58.61" personId="{68206565-0EBE-402D-9F1D-64A9D110BADE}" id="{CAF4FFC2-8F72-4A57-8C61-EFD027440F45}">
    <text>ID ANTIGO 2390P013958 (Ruído áudio)</text>
  </threadedComment>
  <threadedComment ref="K20" dT="2024-05-02T18:53:21.03" personId="{68206565-0EBE-402D-9F1D-64A9D110BADE}" id="{FF87388E-BC59-47E2-ADAC-333E8B59608A}">
    <text>ID ANTIGO 2390P013959 (Ruído áudio)</text>
  </threadedComment>
  <threadedComment ref="K21" dT="2024-05-02T18:55:12.83" personId="{68206565-0EBE-402D-9F1D-64A9D110BADE}" id="{8801756C-9043-42C9-A983-8932387CB861}">
    <text>ID ANTIGO 2390P013960 (Ruído áudio)</text>
  </threadedComment>
  <threadedComment ref="K22" dT="2024-05-02T18:55:57.75" personId="{68206565-0EBE-402D-9F1D-64A9D110BADE}" id="{15A89EE0-A209-46BE-B211-7EDD08CCCEC7}">
    <text>ID ANTIGO 2390P013961 (Ruído áudio)</text>
  </threadedComment>
  <threadedComment ref="K23" dT="2024-05-02T18:56:53.68" personId="{68206565-0EBE-402D-9F1D-64A9D110BADE}" id="{1592D06E-F9F5-4844-918C-206FBAA50DC4}">
    <text>ID ANTIGO 2390P013962 (Ruído áudio)</text>
  </threadedComment>
  <threadedComment ref="K27" dT="2024-04-10T20:03:34.08" personId="{68206565-0EBE-402D-9F1D-64A9D110BADE}" id="{2E0A4CD7-D0BE-4850-81AA-A2EE7310C8F2}">
    <text>ID anterior 2390P014038 (problema no áudio)</text>
  </threadedComment>
  <threadedComment ref="K31" dT="2024-04-10T20:03:49.83" personId="{68206565-0EBE-402D-9F1D-64A9D110BADE}" id="{0C729351-C2D4-4930-A37D-E2A229B63ADF}">
    <text>ID anterior 2390P014042 (problema no áudio)</text>
  </threadedComment>
  <threadedComment ref="K32" dT="2024-04-10T20:04:02.11" personId="{68206565-0EBE-402D-9F1D-64A9D110BADE}" id="{2D1E9CA4-66E9-487F-9EE0-F1B739EFA0E4}">
    <text>ID anterior 2390P014043 (problema no áudio)</text>
  </threadedComment>
  <threadedComment ref="K36" dT="2024-04-10T20:04:15.47" personId="{68206565-0EBE-402D-9F1D-64A9D110BADE}" id="{C55B2508-CAFF-43E1-9712-11A77362CD61}">
    <text>ID anterior 2390P014047 (problema no áudio)</text>
  </threadedComment>
  <threadedComment ref="K40" dT="2024-04-10T20:04:31.88" personId="{68206565-0EBE-402D-9F1D-64A9D110BADE}" id="{5DF57C04-7B19-4CF2-BEC2-3C75BE4ACDBF}">
    <text>ID anterior 2390P014051 (problema no áudio)</text>
  </threadedComment>
  <threadedComment ref="B48" dT="2024-04-12T17:32:02.36" personId="{68206565-0EBE-402D-9F1D-64A9D110BADE}" id="{AD52B434-73DC-4AE2-8205-9AB71325D640}" done="1">
    <text>@Alfredo Salvador Vieira Coelho ,  tudo bem? Você têm os títulos das aulas desta disciplina? Aqui constam as do PI I e acho que são diferentes. Obrigada :)</text>
    <mentions>
      <mention mentionpersonId="{9F8BFD04-E1A0-472F-BBDE-0398436CA7C5}" mentionId="{0AC8B651-DF7C-4F63-B8D1-C05A70049648}" startIndex="0" length="31"/>
    </mentions>
  </threadedComment>
  <threadedComment ref="B48" dT="2024-04-15T13:28:13.34" personId="{87BE63EA-BB84-4E65-8534-8752D513FE4D}" id="{5F43B556-F429-4F07-8863-384F9FD70650}" parentId="{AD52B434-73DC-4AE2-8205-9AB71325D640}">
    <text>Vou atualizar com os slides que tenho aqui, que é o que está valendo</text>
  </threadedComment>
  <threadedComment ref="B48" dT="2024-04-15T13:32:58.67" personId="{87BE63EA-BB84-4E65-8534-8752D513FE4D}" id="{29C7ED9E-EB82-4688-AB9D-F7E373B095AB}" parentId="{AD52B434-73DC-4AE2-8205-9AB71325D640}">
    <text>@Thais dos Reis atualizado</text>
    <mentions>
      <mention mentionpersonId="{06CDC1AC-A700-4848-A252-750C3B504025}" mentionId="{2180867F-5ED9-422B-9C78-0CD84B420519}" startIndex="0" length="15"/>
    </mentions>
  </threadedComment>
  <threadedComment ref="B48" dT="2024-04-15T16:01:09.22" personId="{68206565-0EBE-402D-9F1D-64A9D110BADE}" id="{1B102AE6-38C1-4976-8855-98A2D92C3D37}" parentId="{AD52B434-73DC-4AE2-8205-9AB71325D640}">
    <text>Obrigada :)</text>
  </threadedComment>
  <threadedComment ref="K57" dT="2024-04-08T15:36:29.10" personId="{68206565-0EBE-402D-9F1D-64A9D110BADE}" id="{399466E3-F369-471F-9BA6-0087B2B5FD25}">
    <text>ID anterior 2390P014288</text>
  </threadedComment>
  <threadedComment ref="G79" dT="2024-07-04T15:35:20.94" personId="{5C673E53-5491-4D87-9DAA-F37983F41F1E}" id="{3798C4D7-B646-48A8-8E1A-FDAA7082AC52}">
    <text>Link antigo: https://youtu.be/6CNTDZ_Uy1g</text>
    <extLst>
      <x:ext xmlns:xltc2="http://schemas.microsoft.com/office/spreadsheetml/2020/threadedcomments2" uri="{F7C98A9C-CBB3-438F-8F68-D28B6AF4A901}">
        <xltc2:checksum>1408217774</xltc2:checksum>
        <xltc2:hyperlink startIndex="13" length="28" url="https://youtu.be/6CNTDZ_Uy1g"/>
      </x:ext>
    </extLst>
  </threadedComment>
  <threadedComment ref="G80" dT="2024-07-03T21:54:08.82" personId="{5C673E53-5491-4D87-9DAA-F37983F41F1E}" id="{F086B95D-D1FC-4F02-AAD2-36E13F057D9C}">
    <text>link antigo: https://youtu.be/5BQiezgf0Oc</text>
  </threadedComment>
  <threadedComment ref="G81" dT="2024-07-03T21:54:42.24" personId="{5C673E53-5491-4D87-9DAA-F37983F41F1E}" id="{903852F6-98A9-4FAA-B179-9B5C83EB1F65}">
    <text>link antigo: https://youtu.be/kmvVVcyjiyk</text>
  </threadedComment>
  <threadedComment ref="G82" dT="2024-07-03T21:54:57.54" personId="{5C673E53-5491-4D87-9DAA-F37983F41F1E}" id="{85D9FD17-2CF4-4E93-85A9-F7C6FCFDB34F}">
    <text>link antigo: https://youtu.be/FwQzHATovJY</text>
    <extLst>
      <x:ext xmlns:xltc2="http://schemas.microsoft.com/office/spreadsheetml/2020/threadedcomments2" uri="{F7C98A9C-CBB3-438F-8F68-D28B6AF4A901}">
        <xltc2:checksum>2776020415</xltc2:checksum>
        <xltc2:hyperlink startIndex="13" length="28" url="https://youtu.be/FwQzHATovJY"/>
      </x:ext>
    </extLst>
  </threadedComment>
  <threadedComment ref="G83" dT="2024-07-04T13:37:25.34" personId="{5C673E53-5491-4D87-9DAA-F37983F41F1E}" id="{A0F8D0E4-9FA4-48D4-B285-A2FA3E41202E}">
    <text>Link antigo: https://youtu.be/Jfdelmguqh8</text>
    <extLst>
      <x:ext xmlns:xltc2="http://schemas.microsoft.com/office/spreadsheetml/2020/threadedcomments2" uri="{F7C98A9C-CBB3-438F-8F68-D28B6AF4A901}">
        <xltc2:checksum>1156697674</xltc2:checksum>
        <xltc2:hyperlink startIndex="13" length="28" url="https://youtu.be/Jfdelmguqh8"/>
      </x:ext>
    </extLst>
  </threadedComment>
  <threadedComment ref="G84" dT="2024-07-04T13:44:02.59" personId="{5C673E53-5491-4D87-9DAA-F37983F41F1E}" id="{C217BB43-27DF-4D63-AAAF-56443CEC5D3E}">
    <text>Link antigo: https://youtu.be/WmZDI2qj4Zw</text>
    <extLst>
      <x:ext xmlns:xltc2="http://schemas.microsoft.com/office/spreadsheetml/2020/threadedcomments2" uri="{F7C98A9C-CBB3-438F-8F68-D28B6AF4A901}">
        <xltc2:checksum>656405525</xltc2:checksum>
        <xltc2:hyperlink startIndex="13" length="28" url="https://youtu.be/WmZDI2qj4Zw"/>
      </x:ext>
    </extLst>
  </threadedComment>
  <threadedComment ref="G85" dT="2024-07-04T13:44:32.99" personId="{5C673E53-5491-4D87-9DAA-F37983F41F1E}" id="{0089C778-3A67-4325-830C-A38DE905AE8E}">
    <text>Link antigo: https://youtu.be/q2imeQ8Ycao</text>
    <extLst>
      <x:ext xmlns:xltc2="http://schemas.microsoft.com/office/spreadsheetml/2020/threadedcomments2" uri="{F7C98A9C-CBB3-438F-8F68-D28B6AF4A901}">
        <xltc2:checksum>103129262</xltc2:checksum>
        <xltc2:hyperlink startIndex="13" length="28" url="https://youtu.be/q2imeQ8Ycao"/>
      </x:ext>
    </extLst>
  </threadedComment>
  <threadedComment ref="G86" dT="2024-07-04T13:44:47.16" personId="{5C673E53-5491-4D87-9DAA-F37983F41F1E}" id="{4F969B78-3D73-4904-9445-04CC753E43D4}">
    <text>Link antigo: https://youtu.be/4JPt1FXSsMk</text>
    <extLst>
      <x:ext xmlns:xltc2="http://schemas.microsoft.com/office/spreadsheetml/2020/threadedcomments2" uri="{F7C98A9C-CBB3-438F-8F68-D28B6AF4A901}">
        <xltc2:checksum>3282225922</xltc2:checksum>
        <xltc2:hyperlink startIndex="13" length="28" url="https://youtu.be/4JPt1FXSsMk"/>
      </x:ext>
    </extLst>
  </threadedComment>
  <threadedComment ref="G87" dT="2024-07-04T13:45:13.24" personId="{5C673E53-5491-4D87-9DAA-F37983F41F1E}" id="{C9A5EC09-1A2B-4BE4-833F-E4E0A1BEE6DE}">
    <text>Link antigo: https://youtu.be/JRhzW9CJUPo</text>
    <extLst>
      <x:ext xmlns:xltc2="http://schemas.microsoft.com/office/spreadsheetml/2020/threadedcomments2" uri="{F7C98A9C-CBB3-438F-8F68-D28B6AF4A901}">
        <xltc2:checksum>3509597696</xltc2:checksum>
        <xltc2:hyperlink startIndex="13" length="28" url="https://youtu.be/JRhzW9CJUPo"/>
      </x:ext>
    </extLst>
  </threadedComment>
  <threadedComment ref="G88" dT="2024-07-04T13:45:25.88" personId="{5C673E53-5491-4D87-9DAA-F37983F41F1E}" id="{E035FB41-BF58-4015-8145-33B73F78D33A}">
    <text>Link antigo: https://youtu.be/VX1Y4fZzP-s</text>
    <extLst>
      <x:ext xmlns:xltc2="http://schemas.microsoft.com/office/spreadsheetml/2020/threadedcomments2" uri="{F7C98A9C-CBB3-438F-8F68-D28B6AF4A901}">
        <xltc2:checksum>1108322377</xltc2:checksum>
        <xltc2:hyperlink startIndex="13" length="28" url="https://youtu.be/VX1Y4fZzP-s"/>
      </x:ext>
    </extLst>
  </threadedComment>
  <threadedComment ref="G89" dT="2024-07-04T13:45:37.27" personId="{5C673E53-5491-4D87-9DAA-F37983F41F1E}" id="{2A64ADC8-54D4-4136-8587-F1F2B0AD5012}">
    <text>Link antigo: https://youtu.be/2kJr8MePUfQ</text>
    <extLst>
      <x:ext xmlns:xltc2="http://schemas.microsoft.com/office/spreadsheetml/2020/threadedcomments2" uri="{F7C98A9C-CBB3-438F-8F68-D28B6AF4A901}">
        <xltc2:checksum>1060804105</xltc2:checksum>
        <xltc2:hyperlink startIndex="13" length="28" url="https://youtu.be/2kJr8MePUfQ"/>
      </x:ext>
    </extLst>
  </threadedComment>
  <threadedComment ref="G90" dT="2024-07-04T13:46:04.68" personId="{5C673E53-5491-4D87-9DAA-F37983F41F1E}" id="{01469D16-3F87-442F-9C07-9059EFF830D9}">
    <text>Link antigo: https://youtu.be/eJ6msJMCZNg</text>
    <extLst>
      <x:ext xmlns:xltc2="http://schemas.microsoft.com/office/spreadsheetml/2020/threadedcomments2" uri="{F7C98A9C-CBB3-438F-8F68-D28B6AF4A901}">
        <xltc2:checksum>3007555565</xltc2:checksum>
        <xltc2:hyperlink startIndex="13" length="28" url="https://youtu.be/eJ6msJMCZNg"/>
      </x:ext>
    </extLst>
  </threadedComment>
  <threadedComment ref="G91" dT="2024-07-04T14:18:27.35" personId="{5C673E53-5491-4D87-9DAA-F37983F41F1E}" id="{C433853A-5972-4F84-8846-A7A36347BED2}">
    <text>Link antigo: https://youtu.be/xzIspft2YRQ</text>
    <extLst>
      <x:ext xmlns:xltc2="http://schemas.microsoft.com/office/spreadsheetml/2020/threadedcomments2" uri="{F7C98A9C-CBB3-438F-8F68-D28B6AF4A901}">
        <xltc2:checksum>3770671688</xltc2:checksum>
        <xltc2:hyperlink startIndex="13" length="28" url="https://youtu.be/xzIspft2YRQ"/>
      </x:ext>
    </extLst>
  </threadedComment>
  <threadedComment ref="G92" dT="2024-07-04T14:18:52.43" personId="{5C673E53-5491-4D87-9DAA-F37983F41F1E}" id="{F6CE8391-46BE-4FD1-BC39-679623DEEB81}">
    <text>Link antigo: https://youtu.be/ILtuDHosBpQ</text>
    <extLst>
      <x:ext xmlns:xltc2="http://schemas.microsoft.com/office/spreadsheetml/2020/threadedcomments2" uri="{F7C98A9C-CBB3-438F-8F68-D28B6AF4A901}">
        <xltc2:checksum>3611306136</xltc2:checksum>
        <xltc2:hyperlink startIndex="13" length="28" url="https://youtu.be/ILtuDHosBpQ"/>
      </x:ext>
    </extLst>
  </threadedComment>
  <threadedComment ref="G93" dT="2024-07-04T14:19:28.46" personId="{5C673E53-5491-4D87-9DAA-F37983F41F1E}" id="{E952FC65-D750-43FB-AA6F-A5A02FC2FF22}">
    <text>Link antigo: https://youtu.be/edYr0GAmnHs</text>
    <extLst>
      <x:ext xmlns:xltc2="http://schemas.microsoft.com/office/spreadsheetml/2020/threadedcomments2" uri="{F7C98A9C-CBB3-438F-8F68-D28B6AF4A901}">
        <xltc2:checksum>2024901961</xltc2:checksum>
        <xltc2:hyperlink startIndex="13" length="28" url="https://youtu.be/edYr0GAmnHs"/>
      </x:ext>
    </extLst>
  </threadedComment>
  <threadedComment ref="G94" dT="2024-07-04T14:20:20.34" personId="{5C673E53-5491-4D87-9DAA-F37983F41F1E}" id="{49C63F4C-C4D7-45AB-BCC1-DB9EA91D9E6D}">
    <text>Link antigp: https://youtu.be/fFLWrLACxpg</text>
    <extLst>
      <x:ext xmlns:xltc2="http://schemas.microsoft.com/office/spreadsheetml/2020/threadedcomments2" uri="{F7C98A9C-CBB3-438F-8F68-D28B6AF4A901}">
        <xltc2:checksum>1220313314</xltc2:checksum>
        <xltc2:hyperlink startIndex="13" length="28" url="https://youtu.be/fFLWrLACxpg"/>
      </x:ext>
    </extLst>
  </threadedComment>
  <threadedComment ref="G94" dT="2024-07-19T15:03:26.98" personId="{5C673E53-5491-4D87-9DAA-F37983F41F1E}" id="{0208F60C-3374-48BD-A9EE-41F0F40F38A7}" parentId="{49C63F4C-C4D7-45AB-BCC1-DB9EA91D9E6D}">
    <text>https://youtu.be/40NvY2vNUWI</text>
    <extLst>
      <x:ext xmlns:xltc2="http://schemas.microsoft.com/office/spreadsheetml/2020/threadedcomments2" uri="{F7C98A9C-CBB3-438F-8F68-D28B6AF4A901}">
        <xltc2:checksum>3135463425</xltc2:checksum>
        <xltc2:hyperlink startIndex="0" length="28" url="https://youtu.be/40NvY2vNUWI"/>
      </x:ext>
    </extLst>
  </threadedComment>
  <threadedComment ref="K94" dT="2024-07-17T15:20:06.85" personId="{5C673E53-5491-4D87-9DAA-F37983F41F1E}" id="{2F27739E-17A1-4D1D-918E-D748E00F3B52}">
    <text>2390P013978</text>
  </threadedComment>
  <threadedComment ref="K94" dT="2024-07-17T15:21:39.71" personId="{5C673E53-5491-4D87-9DAA-F37983F41F1E}" id="{3C143BF5-8259-421E-B6FC-02AEE1853405}" parentId="{2F27739E-17A1-4D1D-918E-D748E00F3B52}">
    <text>@Thais dos Reis  Mudança no id, erro no gc.</text>
    <mentions>
      <mention mentionpersonId="{06CDC1AC-A700-4848-A252-750C3B504025}" mentionId="{BCBD6E00-45BC-473A-9307-113F7CFD3AC7}" startIndex="0" length="15"/>
    </mentions>
  </threadedComment>
  <threadedComment ref="G95" dT="2024-07-04T14:20:57.60" personId="{5C673E53-5491-4D87-9DAA-F37983F41F1E}" id="{18686DDC-B1E1-45D3-8800-AEEC689569BB}">
    <text>Link antigo: https://youtu.be/oUVCxnxj23Y</text>
    <extLst>
      <x:ext xmlns:xltc2="http://schemas.microsoft.com/office/spreadsheetml/2020/threadedcomments2" uri="{F7C98A9C-CBB3-438F-8F68-D28B6AF4A901}">
        <xltc2:checksum>1552489979</xltc2:checksum>
        <xltc2:hyperlink startIndex="13" length="28" url="https://youtu.be/oUVCxnxj23Y"/>
      </x:ext>
    </extLst>
  </threadedComment>
  <threadedComment ref="G96" dT="2024-07-04T14:21:22.45" personId="{5C673E53-5491-4D87-9DAA-F37983F41F1E}" id="{274309B5-1B06-4755-954D-982BF7A54332}">
    <text>Link antigo: https://youtu.be/kNRvL5E5T7g</text>
    <extLst>
      <x:ext xmlns:xltc2="http://schemas.microsoft.com/office/spreadsheetml/2020/threadedcomments2" uri="{F7C98A9C-CBB3-438F-8F68-D28B6AF4A901}">
        <xltc2:checksum>1758730252</xltc2:checksum>
        <xltc2:hyperlink startIndex="13" length="28" url="https://youtu.be/kNRvL5E5T7g"/>
      </x:ext>
    </extLst>
  </threadedComment>
  <threadedComment ref="G97" dT="2024-07-03T20:14:36.12" personId="{5C673E53-5491-4D87-9DAA-F37983F41F1E}" id="{FB41A2E6-97E1-4543-A8F0-6CCA54E670D3}">
    <text>link antigo: https://youtu.be/Y5wNxIDnIIk</text>
    <extLst>
      <x:ext xmlns:xltc2="http://schemas.microsoft.com/office/spreadsheetml/2020/threadedcomments2" uri="{F7C98A9C-CBB3-438F-8F68-D28B6AF4A901}">
        <xltc2:checksum>2749677277</xltc2:checksum>
        <xltc2:hyperlink startIndex="13" length="28" url="https://youtu.be/Y5wNxIDnIIk"/>
      </x:ext>
    </extLst>
  </threadedComment>
  <threadedComment ref="G98" dT="2024-07-03T20:15:27.59" personId="{5C673E53-5491-4D87-9DAA-F37983F41F1E}" id="{CFC39D33-8CE2-4656-AFFC-CA80C1032197}">
    <text>link antigo: https://youtu.be/rX5vWwY9R48</text>
    <extLst>
      <x:ext xmlns:xltc2="http://schemas.microsoft.com/office/spreadsheetml/2020/threadedcomments2" uri="{F7C98A9C-CBB3-438F-8F68-D28B6AF4A901}">
        <xltc2:checksum>2622584410</xltc2:checksum>
        <xltc2:hyperlink startIndex="13" length="28" url="https://youtu.be/rX5vWwY9R48"/>
      </x:ext>
    </extLst>
  </threadedComment>
  <threadedComment ref="G99" dT="2024-07-03T20:34:57.46" personId="{5C673E53-5491-4D87-9DAA-F37983F41F1E}" id="{E90B96E7-21E5-42BB-94FD-60A28EB7D556}">
    <text>link antigo: https://youtu.be/zq1memUbs_g</text>
    <extLst>
      <x:ext xmlns:xltc2="http://schemas.microsoft.com/office/spreadsheetml/2020/threadedcomments2" uri="{F7C98A9C-CBB3-438F-8F68-D28B6AF4A901}">
        <xltc2:checksum>3969693668</xltc2:checksum>
        <xltc2:hyperlink startIndex="13" length="28" url="https://youtu.be/zq1memUbs_g"/>
      </x:ext>
    </extLst>
  </threadedComment>
  <threadedComment ref="G100" dT="2024-07-03T20:37:09.87" personId="{5C673E53-5491-4D87-9DAA-F37983F41F1E}" id="{E2567F4D-8FD8-43A1-88C1-6263267F93C5}">
    <text>link antigo: https://youtu.be/tG2iFRqu_WM</text>
    <extLst>
      <x:ext xmlns:xltc2="http://schemas.microsoft.com/office/spreadsheetml/2020/threadedcomments2" uri="{F7C98A9C-CBB3-438F-8F68-D28B6AF4A901}">
        <xltc2:checksum>838719906</xltc2:checksum>
        <xltc2:hyperlink startIndex="13" length="28" url="https://youtu.be/tG2iFRqu_WM"/>
      </x:ext>
    </extLst>
  </threadedComment>
  <threadedComment ref="K113" dT="2024-07-03T22:16:35.32" personId="{68206565-0EBE-402D-9F1D-64A9D110BADE}" id="{542916A8-1643-406D-975D-F6E6375A6719}">
    <text>ID anterior 2390P015353 (aprovado sem a correção de cor)</text>
  </threadedComment>
  <threadedComment ref="K114" dT="2024-07-03T22:16:55.26" personId="{68206565-0EBE-402D-9F1D-64A9D110BADE}" id="{91F7DB0D-ECF7-4745-B64F-17F5690321A2}">
    <text>ID anterior 2390P015354 (aprovado sem a correção de cor)</text>
  </threadedComment>
  <threadedComment ref="K115" dT="2024-07-03T22:17:07.20" personId="{68206565-0EBE-402D-9F1D-64A9D110BADE}" id="{2D289BF2-22B6-4D96-89E1-176725445D16}">
    <text>ID anterior 2390P015355  (aprovado sem a correção de cor)</text>
  </threadedComment>
  <threadedComment ref="K118" dT="2024-07-03T22:17:27.09" personId="{68206565-0EBE-402D-9F1D-64A9D110BADE}" id="{33E14B2E-84FB-4399-8431-80FC48BDFEB4}">
    <text>ID anterior 2390P015357 (aprovado sem a correção de cor)</text>
  </threadedComment>
  <threadedComment ref="K119" dT="2024-07-03T22:17:38.93" personId="{68206565-0EBE-402D-9F1D-64A9D110BADE}" id="{3C285E41-DD11-4B89-BEC8-7076A97F4134}">
    <text>ID anterior 2390P015358  (aprovado sem a correção de cor)</text>
  </threadedComment>
  <threadedComment ref="K119" dT="2025-06-25T19:56:10.08" personId="{68206565-0EBE-402D-9F1D-64A9D110BADE}" id="{0E5C6BFE-EB04-490F-892F-795D298DAAA8}" parentId="{3C285E41-DD11-4B89-BEC8-7076A97F4134}">
    <text>ID anterior 2390P015395 (00:07" black e sync de vídeo)</text>
  </threadedComment>
  <threadedComment ref="K134" dT="2024-04-18T21:43:11.63" personId="{68206565-0EBE-402D-9F1D-64A9D110BADE}" id="{587E0124-66E1-4725-8A61-8644B003A793}">
    <text>ID anterior 2390P013514 (título errado)</text>
  </threadedComment>
  <threadedComment ref="G147" dT="2024-07-04T18:00:20.68" personId="{5C673E53-5491-4D87-9DAA-F37983F41F1E}" id="{035CC2C6-D020-415C-B9C5-E7E40D2959EA}">
    <text>Link antigo: https://youtu.be/tIb-0ZbeXwU</text>
    <extLst>
      <x:ext xmlns:xltc2="http://schemas.microsoft.com/office/spreadsheetml/2020/threadedcomments2" uri="{F7C98A9C-CBB3-438F-8F68-D28B6AF4A901}">
        <xltc2:checksum>3122579309</xltc2:checksum>
        <xltc2:hyperlink startIndex="13" length="28" url="https://youtu.be/tIb-0ZbeXwU"/>
      </x:ext>
    </extLst>
  </threadedComment>
  <threadedComment ref="K147" dT="2024-04-29T22:29:52.21" personId="{68206565-0EBE-402D-9F1D-64A9D110BADE}" id="{A65D02A0-DAF7-4948-8CBC-DFFA5CE55504}">
    <text>ID anterior 2390P013920 (reedição pronome neutro)</text>
  </threadedComment>
  <threadedComment ref="G148" dT="2024-07-04T18:25:17.14" personId="{5C673E53-5491-4D87-9DAA-F37983F41F1E}" id="{CA2BCA76-D0B8-42C0-92F3-99FFD9064668}">
    <text>Link antigo: https://youtu.be/RRYmzsyT2hM</text>
    <extLst>
      <x:ext xmlns:xltc2="http://schemas.microsoft.com/office/spreadsheetml/2020/threadedcomments2" uri="{F7C98A9C-CBB3-438F-8F68-D28B6AF4A901}">
        <xltc2:checksum>1709957892</xltc2:checksum>
        <xltc2:hyperlink startIndex="13" length="28" url="https://youtu.be/RRYmzsyT2hM"/>
      </x:ext>
    </extLst>
  </threadedComment>
  <threadedComment ref="K148" dT="2024-04-29T22:30:07.49" personId="{68206565-0EBE-402D-9F1D-64A9D110BADE}" id="{C49D79A8-69BD-45DC-AC1C-3ACC7BD9C02D}">
    <text>ID anterior 2390P013921 (reedição pronome neutro)</text>
  </threadedComment>
  <threadedComment ref="G149" dT="2024-07-04T18:25:44.33" personId="{5C673E53-5491-4D87-9DAA-F37983F41F1E}" id="{8CCFF167-7E7A-4CEE-87E6-D7390C73FC7B}">
    <text>Link antigo: https://youtu.be/NPjhefFkjPs</text>
    <extLst>
      <x:ext xmlns:xltc2="http://schemas.microsoft.com/office/spreadsheetml/2020/threadedcomments2" uri="{F7C98A9C-CBB3-438F-8F68-D28B6AF4A901}">
        <xltc2:checksum>2656640302</xltc2:checksum>
        <xltc2:hyperlink startIndex="13" length="28" url="https://youtu.be/NPjhefFkjPs"/>
      </x:ext>
    </extLst>
  </threadedComment>
  <threadedComment ref="K149" dT="2024-04-29T22:30:14.14" personId="{68206565-0EBE-402D-9F1D-64A9D110BADE}" id="{91578FC7-8536-486F-954A-E7F43F54D21C}">
    <text>ID anterior 2390P013922 (reedição pronome neutro)</text>
  </threadedComment>
  <threadedComment ref="G150" dT="2024-07-04T18:26:03.55" personId="{5C673E53-5491-4D87-9DAA-F37983F41F1E}" id="{D8132062-4529-4D0C-9E26-0486D6ED423E}">
    <text>Link antigo: https://youtu.be/yPbR1E4SW80</text>
    <extLst>
      <x:ext xmlns:xltc2="http://schemas.microsoft.com/office/spreadsheetml/2020/threadedcomments2" uri="{F7C98A9C-CBB3-438F-8F68-D28B6AF4A901}">
        <xltc2:checksum>3212068661</xltc2:checksum>
        <xltc2:hyperlink startIndex="13" length="28" url="https://youtu.be/yPbR1E4SW80"/>
      </x:ext>
    </extLst>
  </threadedComment>
  <threadedComment ref="K150" dT="2024-04-29T22:30:20.86" personId="{68206565-0EBE-402D-9F1D-64A9D110BADE}" id="{A0A98F0E-48FC-4D13-B64F-69F128B63613}">
    <text>ID anterior 2390P013923 (reedição pronome neutro)</text>
  </threadedComment>
  <threadedComment ref="G151" dT="2024-07-04T19:12:56.77" personId="{5C673E53-5491-4D87-9DAA-F37983F41F1E}" id="{3CB9F7FF-4EEA-4D82-9440-ED84F61B4F72}">
    <text>Link antigo: https://youtu.be/ftW38H3qy2g</text>
    <extLst>
      <x:ext xmlns:xltc2="http://schemas.microsoft.com/office/spreadsheetml/2020/threadedcomments2" uri="{F7C98A9C-CBB3-438F-8F68-D28B6AF4A901}">
        <xltc2:checksum>3736117832</xltc2:checksum>
        <xltc2:hyperlink startIndex="13" length="28" url="https://youtu.be/ftW38H3qy2g"/>
      </x:ext>
    </extLst>
  </threadedComment>
  <threadedComment ref="K151" dT="2024-04-29T22:30:28.32" personId="{68206565-0EBE-402D-9F1D-64A9D110BADE}" id="{AF2BC795-FE90-49AC-803F-4C82D455C015}">
    <text>ID anterior 2390P013924 (reedição pronome neutro)</text>
  </threadedComment>
  <threadedComment ref="G152" dT="2024-07-04T19:13:08.76" personId="{5C673E53-5491-4D87-9DAA-F37983F41F1E}" id="{010A3A30-3398-42EB-93CF-BC87B94629AE}">
    <text>Link antigo: https://youtu.be/RcOL0_0PYcQ</text>
    <extLst>
      <x:ext xmlns:xltc2="http://schemas.microsoft.com/office/spreadsheetml/2020/threadedcomments2" uri="{F7C98A9C-CBB3-438F-8F68-D28B6AF4A901}">
        <xltc2:checksum>615196061</xltc2:checksum>
        <xltc2:hyperlink startIndex="13" length="28" url="https://youtu.be/RcOL0_0PYcQ"/>
      </x:ext>
    </extLst>
  </threadedComment>
  <threadedComment ref="K152" dT="2024-04-29T22:30:37.75" personId="{68206565-0EBE-402D-9F1D-64A9D110BADE}" id="{017CEA47-ED66-4A09-88CD-D7288C41EB05}">
    <text>ID anterior 2390P013925 (reedição pronome neutro)</text>
  </threadedComment>
  <threadedComment ref="K152" dT="2024-05-06T16:51:13.91" personId="{68206565-0EBE-402D-9F1D-64A9D110BADE}" id="{08AAC50C-F5C7-4966-A2D5-68B3C42DB679}" parentId="{017CEA47-ED66-4A09-88CD-D7288C41EB05}">
    <text>ID antigo 2390P015117 (tema da aula na vinheta errado)</text>
  </threadedComment>
  <threadedComment ref="G153" dT="2024-07-04T19:20:51.90" personId="{5C673E53-5491-4D87-9DAA-F37983F41F1E}" id="{C25311CF-B576-44D8-94F5-93B0E41DAD99}">
    <text>Link antigo: https://youtu.be/1z1F_2h1zAs</text>
    <extLst>
      <x:ext xmlns:xltc2="http://schemas.microsoft.com/office/spreadsheetml/2020/threadedcomments2" uri="{F7C98A9C-CBB3-438F-8F68-D28B6AF4A901}">
        <xltc2:checksum>4124027016</xltc2:checksum>
        <xltc2:hyperlink startIndex="13" length="28" url="https://youtu.be/1z1F_2h1zAs"/>
      </x:ext>
    </extLst>
  </threadedComment>
  <threadedComment ref="K153" dT="2024-04-29T22:31:00.13" personId="{68206565-0EBE-402D-9F1D-64A9D110BADE}" id="{9969A349-BE7C-41ED-9A63-059095659A0C}">
    <text>ID anterior 2390P013926 (reedição pronome neutro)</text>
  </threadedComment>
  <threadedComment ref="G154" dT="2024-07-04T19:21:11.23" personId="{5C673E53-5491-4D87-9DAA-F37983F41F1E}" id="{36FE3FE7-7F78-46DA-9DBC-BD6BF54D5B18}">
    <text>Link antigo: https://youtu.be/pnnzxVZGe8s</text>
    <extLst>
      <x:ext xmlns:xltc2="http://schemas.microsoft.com/office/spreadsheetml/2020/threadedcomments2" uri="{F7C98A9C-CBB3-438F-8F68-D28B6AF4A901}">
        <xltc2:checksum>1367135966</xltc2:checksum>
        <xltc2:hyperlink startIndex="13" length="28" url="https://youtu.be/pnnzxVZGe8s"/>
      </x:ext>
    </extLst>
  </threadedComment>
  <threadedComment ref="K154" dT="2024-04-29T22:31:08.55" personId="{68206565-0EBE-402D-9F1D-64A9D110BADE}" id="{9A55DB88-5143-40BD-8CBF-D5DA46D34157}">
    <text>ID anterior 2390P013927 (reedição pronome neutro)</text>
  </threadedComment>
  <threadedComment ref="F155" dT="2024-04-29T22:31:31.38" personId="{68206565-0EBE-402D-9F1D-64A9D110BADE}" id="{D614C4A3-0DAF-46A6-9289-3B123D6AC387}">
    <text>ID anterior 2390P013930 (reedição pronome neutro)</text>
  </threadedComment>
  <threadedComment ref="G155" dT="2024-07-04T19:21:41.28" personId="{5C673E53-5491-4D87-9DAA-F37983F41F1E}" id="{700AAE6A-6374-46AE-A05A-46C1BBBCC1F6}">
    <text>Link antigo: https://youtu.be/MRK7Zj3zZ0E</text>
    <extLst>
      <x:ext xmlns:xltc2="http://schemas.microsoft.com/office/spreadsheetml/2020/threadedcomments2" uri="{F7C98A9C-CBB3-438F-8F68-D28B6AF4A901}">
        <xltc2:checksum>482331110</xltc2:checksum>
        <xltc2:hyperlink startIndex="13" length="28" url="https://youtu.be/MRK7Zj3zZ0E"/>
      </x:ext>
    </extLst>
  </threadedComment>
  <threadedComment ref="K155" dT="2024-04-29T22:31:15.86" personId="{68206565-0EBE-402D-9F1D-64A9D110BADE}" id="{C7391E8E-05F5-4BBD-9CBD-EE02B1551B84}">
    <text>ID anterior 2390P013929 (reedição pronome neutro)</text>
  </threadedComment>
  <threadedComment ref="F156" dT="2024-04-29T22:31:31.38" personId="{68206565-0EBE-402D-9F1D-64A9D110BADE}" id="{0A7A473C-3682-4643-A84F-0F7CDFCE4572}">
    <text>ID anterior 2390P013931 (reedição pronome neutro)</text>
  </threadedComment>
  <threadedComment ref="G156" dT="2024-07-04T19:21:41.28" personId="{5C673E53-5491-4D87-9DAA-F37983F41F1E}" id="{49056B69-806E-4300-BB75-9025DCE3C6D1}">
    <text>Link antigo: https://youtu.be/MRK7Zj3zZ0E</text>
    <extLst>
      <x:ext xmlns:xltc2="http://schemas.microsoft.com/office/spreadsheetml/2020/threadedcomments2" uri="{F7C98A9C-CBB3-438F-8F68-D28B6AF4A901}">
        <xltc2:checksum>482331110</xltc2:checksum>
        <xltc2:hyperlink startIndex="13" length="28" url="https://youtu.be/MRK7Zj3zZ0E"/>
      </x:ext>
    </extLst>
  </threadedComment>
  <threadedComment ref="K156" dT="2024-04-29T22:31:31.38" personId="{68206565-0EBE-402D-9F1D-64A9D110BADE}" id="{96F0507F-3A35-435A-AD00-29FD2BAE31B3}">
    <text>ID anterior 2390P013930 (reedição pronome neutro)</text>
  </threadedComment>
  <threadedComment ref="G157" dT="2024-07-03T20:48:14.04" personId="{5C673E53-5491-4D87-9DAA-F37983F41F1E}" id="{E25593F0-FEBC-49BF-AF84-F64730045023}">
    <text>link antigo: https://youtu.be/0ahLyLxhmBQ</text>
    <extLst>
      <x:ext xmlns:xltc2="http://schemas.microsoft.com/office/spreadsheetml/2020/threadedcomments2" uri="{F7C98A9C-CBB3-438F-8F68-D28B6AF4A901}">
        <xltc2:checksum>1960053373</xltc2:checksum>
        <xltc2:hyperlink startIndex="13" length="28" url="https://youtu.be/0ahLyLxhmBQ"/>
      </x:ext>
    </extLst>
  </threadedComment>
  <threadedComment ref="K157" dT="2024-04-29T22:31:31.38" personId="{68206565-0EBE-402D-9F1D-64A9D110BADE}" id="{529771FE-33BE-4F3D-AF7B-C12B06AAE8C4}">
    <text>ID anterior 2390P013931 (reedição pronome neutro)</text>
  </threadedComment>
  <threadedComment ref="F158" dT="2024-04-29T22:31:15.86" personId="{68206565-0EBE-402D-9F1D-64A9D110BADE}" id="{1C81D0E1-0E1F-437F-AFC5-477345D9B3D7}">
    <text>ID anterior 2390P013929 (reedição pronome neutro)</text>
  </threadedComment>
  <threadedComment ref="G158" dT="2024-07-03T20:48:14.04" personId="{5C673E53-5491-4D87-9DAA-F37983F41F1E}" id="{5A569204-761D-481B-94F2-5490FCADA672}">
    <text>link antigo: https://youtu.be/0ahLyLxhmBQ</text>
    <extLst>
      <x:ext xmlns:xltc2="http://schemas.microsoft.com/office/spreadsheetml/2020/threadedcomments2" uri="{F7C98A9C-CBB3-438F-8F68-D28B6AF4A901}">
        <xltc2:checksum>1960053373</xltc2:checksum>
        <xltc2:hyperlink startIndex="13" length="28" url="https://youtu.be/0ahLyLxhmBQ"/>
      </x:ext>
    </extLst>
  </threadedComment>
  <threadedComment ref="G159" dT="2024-07-03T20:48:44.69" personId="{5C673E53-5491-4D87-9DAA-F37983F41F1E}" id="{F8895EBD-8DF0-40D4-8637-35E37FE4D612}">
    <text>link antigo: https://youtu.be/ECmK4sTsemQ</text>
    <extLst>
      <x:ext xmlns:xltc2="http://schemas.microsoft.com/office/spreadsheetml/2020/threadedcomments2" uri="{F7C98A9C-CBB3-438F-8F68-D28B6AF4A901}">
        <xltc2:checksum>3730405324</xltc2:checksum>
        <xltc2:hyperlink startIndex="13" length="28" url="https://youtu.be/ECmK4sTsemQ"/>
      </x:ext>
    </extLst>
  </threadedComment>
  <threadedComment ref="G160" dT="2024-07-03T20:51:21.85" personId="{5C673E53-5491-4D87-9DAA-F37983F41F1E}" id="{3DB3DB01-5220-4565-859B-066F6839FA8A}">
    <text>link antigo: https://youtu.be/StpOaTMsC3M</text>
    <extLst>
      <x:ext xmlns:xltc2="http://schemas.microsoft.com/office/spreadsheetml/2020/threadedcomments2" uri="{F7C98A9C-CBB3-438F-8F68-D28B6AF4A901}">
        <xltc2:checksum>2937107234</xltc2:checksum>
        <xltc2:hyperlink startIndex="13" length="28" url="https://youtu.be/StpOaTMsC3M"/>
      </x:ext>
    </extLst>
  </threadedComment>
  <threadedComment ref="G161" dT="2024-07-03T21:33:33.23" personId="{5C673E53-5491-4D87-9DAA-F37983F41F1E}" id="{5146DB4B-619E-43C1-931F-D3A2D51B0FDD}">
    <text>link antigo: https://youtu.be/0ZAQBodbJS8</text>
    <extLst>
      <x:ext xmlns:xltc2="http://schemas.microsoft.com/office/spreadsheetml/2020/threadedcomments2" uri="{F7C98A9C-CBB3-438F-8F68-D28B6AF4A901}">
        <xltc2:checksum>1767950723</xltc2:checksum>
        <xltc2:hyperlink startIndex="13" length="28" url="https://youtu.be/0ZAQBodbJS8"/>
      </x:ext>
    </extLst>
  </threadedComment>
  <threadedComment ref="G162" dT="2024-07-03T21:33:52.49" personId="{5C673E53-5491-4D87-9DAA-F37983F41F1E}" id="{5C153602-B8AC-49DE-8172-28C7F1A68CCF}">
    <text>link antigo: https://youtu.be/Gbf89yYpqxk</text>
    <extLst>
      <x:ext xmlns:xltc2="http://schemas.microsoft.com/office/spreadsheetml/2020/threadedcomments2" uri="{F7C98A9C-CBB3-438F-8F68-D28B6AF4A901}">
        <xltc2:checksum>848709079</xltc2:checksum>
        <xltc2:hyperlink startIndex="13" length="28" url="https://youtu.be/Gbf89yYpqxk"/>
      </x:ext>
    </extLst>
  </threadedComment>
  <threadedComment ref="G163" dT="2024-07-04T19:30:13.86" personId="{5C673E53-5491-4D87-9DAA-F37983F41F1E}" id="{3668789A-A05F-47F4-9EC6-B5160FB6EE21}">
    <text>Link antigo:  https://youtu.be/wOfu09inRu8</text>
    <extLst>
      <x:ext xmlns:xltc2="http://schemas.microsoft.com/office/spreadsheetml/2020/threadedcomments2" uri="{F7C98A9C-CBB3-438F-8F68-D28B6AF4A901}">
        <xltc2:checksum>1968994447</xltc2:checksum>
        <xltc2:hyperlink startIndex="14" length="28" url="https://youtu.be/wOfu09inRu8"/>
      </x:ext>
    </extLst>
  </threadedComment>
  <threadedComment ref="G164" dT="2024-07-04T19:29:41.58" personId="{5C673E53-5491-4D87-9DAA-F37983F41F1E}" id="{00AE3BFC-21E2-4D49-931E-06AF87318E15}">
    <text>Link antigo: https://youtu.be/aniLkQzAw2U</text>
    <extLst>
      <x:ext xmlns:xltc2="http://schemas.microsoft.com/office/spreadsheetml/2020/threadedcomments2" uri="{F7C98A9C-CBB3-438F-8F68-D28B6AF4A901}">
        <xltc2:checksum>804099422</xltc2:checksum>
        <xltc2:hyperlink startIndex="13" length="28" url="https://youtu.be/aniLkQzAw2U"/>
      </x:ext>
    </extLst>
  </threadedComment>
  <threadedComment ref="G165" dT="2024-07-04T19:29:26.82" personId="{5C673E53-5491-4D87-9DAA-F37983F41F1E}" id="{8A314A43-57ED-4D88-A232-621FEA6C11ED}">
    <text>Link antigo:https://youtu.be/GDZnEM1Y1GQ</text>
    <extLst>
      <x:ext xmlns:xltc2="http://schemas.microsoft.com/office/spreadsheetml/2020/threadedcomments2" uri="{F7C98A9C-CBB3-438F-8F68-D28B6AF4A901}">
        <xltc2:checksum>1234581834</xltc2:checksum>
        <xltc2:hyperlink startIndex="12" length="28" url="https://youtu.be/GDZnEM1Y1GQ"/>
      </x:ext>
    </extLst>
  </threadedComment>
  <threadedComment ref="K165" dT="2024-04-29T22:31:40.91" personId="{68206565-0EBE-402D-9F1D-64A9D110BADE}" id="{D51D30C8-2E2B-4AE0-B374-544E7F662AB4}">
    <text>ID anterior 2390P013938 (reedição pronome neutro)</text>
  </threadedComment>
  <threadedComment ref="G166" dT="2024-07-04T19:29:10.87" personId="{5C673E53-5491-4D87-9DAA-F37983F41F1E}" id="{EB0513B7-3F19-49F6-A939-68846A6FC899}">
    <text>Link antigo: https://youtu.be/RPv-jzAjvew</text>
    <extLst>
      <x:ext xmlns:xltc2="http://schemas.microsoft.com/office/spreadsheetml/2020/threadedcomments2" uri="{F7C98A9C-CBB3-438F-8F68-D28B6AF4A901}">
        <xltc2:checksum>3407672850</xltc2:checksum>
        <xltc2:hyperlink startIndex="13" length="28" url="https://youtu.be/RPv-jzAjvew"/>
      </x:ext>
    </extLst>
  </threadedComment>
  <threadedComment ref="K166" dT="2024-04-29T22:31:51.13" personId="{68206565-0EBE-402D-9F1D-64A9D110BADE}" id="{0306A7AB-54F5-48C2-8B4A-49FBBA047198}">
    <text>ID anterior 2390P013939 (reedição pronome neutro)</text>
  </threadedComment>
  <threadedComment ref="K166" dT="2024-05-06T16:52:30.16" personId="{68206565-0EBE-402D-9F1D-64A9D110BADE}" id="{A0ADB995-A7AE-4E1C-A725-A60448DD51CC}" parentId="{0306A7AB-54F5-48C2-8B4A-49FBBA047198}">
    <text>ID antigo 2390P015124  (tema da aula na vinheta errado)</text>
  </threadedComment>
  <threadedComment ref="G167" dT="2024-07-04T19:28:53.32" personId="{5C673E53-5491-4D87-9DAA-F37983F41F1E}" id="{C1FC42B4-EF5E-4F75-A3B9-87359EF9ECB0}">
    <text>Link antigo:  https://youtu.be/fshkP0oIRZs</text>
    <extLst>
      <x:ext xmlns:xltc2="http://schemas.microsoft.com/office/spreadsheetml/2020/threadedcomments2" uri="{F7C98A9C-CBB3-438F-8F68-D28B6AF4A901}">
        <xltc2:checksum>320652311</xltc2:checksum>
        <xltc2:hyperlink startIndex="14" length="28" url="https://youtu.be/fshkP0oIRZs"/>
      </x:ext>
    </extLst>
  </threadedComment>
  <threadedComment ref="K167" dT="2024-04-29T22:31:59.94" personId="{68206565-0EBE-402D-9F1D-64A9D110BADE}" id="{34189EF9-FB95-4A02-8A6E-B66C9BBE82C3}">
    <text>ID anterior 2390P013940 (reedição pronome neutro)</text>
  </threadedComment>
  <threadedComment ref="G182" dT="2024-07-05T20:43:31.77" personId="{5C673E53-5491-4D87-9DAA-F37983F41F1E}" id="{3F7E508B-C9E6-4CC7-A41B-6EE694127CAF}">
    <text>Link antigo: https://youtu.be/4xkb9DdcxiA</text>
  </threadedComment>
  <threadedComment ref="K182" dT="2024-07-03T17:19:33.48" personId="{68206565-0EBE-402D-9F1D-64A9D110BADE}" id="{D9469806-E8C1-45A1-814C-1B31FD6CC44A}">
    <text>Id anterior 2390P015096 (cartela errada)</text>
  </threadedComment>
  <threadedComment ref="K182" dT="2024-07-04T19:55:11.24" personId="{68206565-0EBE-402D-9F1D-64A9D110BADE}" id="{D97A8DD5-B83C-4A41-8A2C-41DC28578646}" parentId="{D9469806-E8C1-45A1-814C-1B31FD6CC44A}">
    <text>ID anterior 2390P015390 (aula reprovada pela Univesp - fórmulas erradas)</text>
  </threadedComment>
</ThreadedComments>
</file>

<file path=xl/threadedComments/threadedComment4.xml><?xml version="1.0" encoding="utf-8"?>
<ThreadedComments xmlns="http://schemas.microsoft.com/office/spreadsheetml/2018/threadedcomments" xmlns:x="http://schemas.openxmlformats.org/spreadsheetml/2006/main">
  <threadedComment ref="K4" dT="2024-07-04T17:09:13.39" personId="{68206565-0EBE-402D-9F1D-64A9D110BADE}" id="{53D2646C-A174-4D60-B6E6-8CB40A68B91B}">
    <text>Id anterior 2390P013620 (título da aula errado)</text>
  </threadedComment>
  <threadedComment ref="G5" dT="2024-08-12T18:54:40.49" personId="{7B60078E-F0A4-4431-BF7F-481026F8F336}" id="{9389A33D-E24E-4752-828F-C64C730758DA}">
    <text>@Larissa Marcela dos Santos o link das aulas 2 e 3 estão iguais</text>
    <mentions>
      <mention mentionpersonId="{5C06E0FD-BB27-4D4E-ADC6-A73B1523C3A7}" mentionId="{75ECCC9A-95AF-4F49-81ED-92135A7283C3}" startIndex="0" length="27"/>
    </mentions>
  </threadedComment>
  <threadedComment ref="G5" dT="2024-08-13T11:08:22.24" personId="{5C673E53-5491-4D87-9DAA-F37983F41F1E}" id="{421EC422-0997-4DAD-BE75-79BCAE3081C5}" parentId="{9389A33D-E24E-4752-828F-C64C730758DA}">
    <text>Corrigido!</text>
  </threadedComment>
  <threadedComment ref="K8" dT="2024-07-03T22:08:12.05" personId="{68206565-0EBE-402D-9F1D-64A9D110BADE}" id="{4DF5DAB6-1253-4643-B6F9-2A9ABB869CF6}">
    <text>ID anterior 2390P013624</text>
  </threadedComment>
  <threadedComment ref="K12" dT="2024-06-20T18:27:06.27" personId="{68206565-0EBE-402D-9F1D-64A9D110BADE}" id="{C90CADCD-BC4F-43CD-B7B8-4D982A1634E3}">
    <text>ID anterior 2390P013789 (áudio com ruído)</text>
  </threadedComment>
  <threadedComment ref="G13" dT="2024-09-30T21:50:46.42" personId="{5C673E53-5491-4D87-9DAA-F37983F41F1E}" id="{CC895999-475C-4DA6-B11E-204972DD6D4E}">
    <text>https://youtu.be/Z07LH-RGKpo</text>
    <extLst>
      <x:ext xmlns:xltc2="http://schemas.microsoft.com/office/spreadsheetml/2020/threadedcomments2" uri="{F7C98A9C-CBB3-438F-8F68-D28B6AF4A901}">
        <xltc2:checksum>2455332856</xltc2:checksum>
        <xltc2:hyperlink startIndex="0" length="28" url="https://youtu.be/Z07LH-RGKpo"/>
      </x:ext>
    </extLst>
  </threadedComment>
  <threadedComment ref="K13" dT="2024-06-20T18:27:13.79" personId="{68206565-0EBE-402D-9F1D-64A9D110BADE}" id="{704F1C0A-1174-4FF3-8BA4-00D46E240378}">
    <text>ID anterior 2390P013790 (áudio com ruído)</text>
  </threadedComment>
  <threadedComment ref="K14" dT="2024-06-20T18:27:22.28" personId="{68206565-0EBE-402D-9F1D-64A9D110BADE}" id="{92CE9124-A34B-41E8-B3A7-DF916C86E071}">
    <text>ID anterior 2390P013791 (áudio com ruído)</text>
  </threadedComment>
  <threadedComment ref="G16" dT="2024-09-30T21:39:37.52" personId="{5C673E53-5491-4D87-9DAA-F37983F41F1E}" id="{CF4B35DF-05D1-4AC1-A268-A1E909B0F30B}">
    <text>https://youtu.be/P943tluehDM</text>
    <extLst>
      <x:ext xmlns:xltc2="http://schemas.microsoft.com/office/spreadsheetml/2020/threadedcomments2" uri="{F7C98A9C-CBB3-438F-8F68-D28B6AF4A901}">
        <xltc2:checksum>3157613025</xltc2:checksum>
        <xltc2:hyperlink startIndex="0" length="28" url="https://youtu.be/P943tluehDM"/>
      </x:ext>
    </extLst>
  </threadedComment>
  <threadedComment ref="K19" dT="2024-05-23T22:07:27.37" personId="{68206565-0EBE-402D-9F1D-64A9D110BADE}" id="{0A87DFF7-74A7-47F3-9B0D-FDF6C6808747}">
    <text>ID anterior 2390P013796 (sem trilha na abertura)</text>
  </threadedComment>
  <threadedComment ref="K19" dT="2024-10-25T18:59:27.56" personId="{68206565-0EBE-402D-9F1D-64A9D110BADE}" id="{D7F5D362-3132-4D5F-8740-AF92A7D3D0C5}" parentId="{0A87DFF7-74A7-47F3-9B0D-FDF6C6808747}">
    <text>ID anterior 2390P015215 (sem trilha de abertura)</text>
  </threadedComment>
  <threadedComment ref="K29" dT="2024-07-22T14:16:41.25" personId="{5C673E53-5491-4D87-9DAA-F37983F41F1E}" id="{4B487E18-B4E9-4D99-B03D-42C31BABD9F0}">
    <text>Id antigo: 2390P013805</text>
  </threadedComment>
  <threadedComment ref="G31" dT="2024-09-24T13:34:39.51" personId="{5C673E53-5491-4D87-9DAA-F37983F41F1E}" id="{4E5E2E08-5ABB-40DB-9090-88A033DADE3A}">
    <text>https://youtu.be/xQou4LKzrys</text>
    <extLst>
      <x:ext xmlns:xltc2="http://schemas.microsoft.com/office/spreadsheetml/2020/threadedcomments2" uri="{F7C98A9C-CBB3-438F-8F68-D28B6AF4A901}">
        <xltc2:checksum>1143368430</xltc2:checksum>
        <xltc2:hyperlink startIndex="0" length="28" url="https://youtu.be/xQou4LKzrys"/>
      </x:ext>
    </extLst>
  </threadedComment>
  <threadedComment ref="G32" dT="2024-09-24T13:34:52.11" personId="{5C673E53-5491-4D87-9DAA-F37983F41F1E}" id="{D13BF107-3E42-4F6A-985D-E47BB37D9613}">
    <text>https://www.youtube.com/watch?v=mgZxYJIUeO0</text>
    <extLst>
      <x:ext xmlns:xltc2="http://schemas.microsoft.com/office/spreadsheetml/2020/threadedcomments2" uri="{F7C98A9C-CBB3-438F-8F68-D28B6AF4A901}">
        <xltc2:checksum>1231403884</xltc2:checksum>
        <xltc2:hyperlink startIndex="0" length="43" url="https://www.youtube.com/watch?v=mgZxYJIUeO0"/>
      </x:ext>
    </extLst>
  </threadedComment>
  <threadedComment ref="G33" dT="2024-09-24T13:35:04.28" personId="{5C673E53-5491-4D87-9DAA-F37983F41F1E}" id="{387CD0B2-5D16-4A6C-A2C5-E66A1D72E107}">
    <text>https://youtu.be/_nweh9bsR2A</text>
    <extLst>
      <x:ext xmlns:xltc2="http://schemas.microsoft.com/office/spreadsheetml/2020/threadedcomments2" uri="{F7C98A9C-CBB3-438F-8F68-D28B6AF4A901}">
        <xltc2:checksum>1482424389</xltc2:checksum>
        <xltc2:hyperlink startIndex="0" length="28" url="https://youtu.be/_nweh9bsR2A"/>
      </x:ext>
    </extLst>
  </threadedComment>
  <threadedComment ref="G34" dT="2024-09-24T13:35:19.15" personId="{5C673E53-5491-4D87-9DAA-F37983F41F1E}" id="{8F9435B6-8B68-443E-BFF1-108F4A6A23BE}">
    <text>https://youtu.be/IZyTojBIeug</text>
    <extLst>
      <x:ext xmlns:xltc2="http://schemas.microsoft.com/office/spreadsheetml/2020/threadedcomments2" uri="{F7C98A9C-CBB3-438F-8F68-D28B6AF4A901}">
        <xltc2:checksum>649840942</xltc2:checksum>
        <xltc2:hyperlink startIndex="0" length="28" url="https://youtu.be/IZyTojBIeug"/>
      </x:ext>
    </extLst>
  </threadedComment>
  <threadedComment ref="G35" dT="2024-09-24T13:35:27.50" personId="{5C673E53-5491-4D87-9DAA-F37983F41F1E}" id="{8B3FB7AC-E8EC-4D1F-A4D5-6A9324E9EADE}">
    <text>https://youtu.be/62-hmiGJXYE</text>
    <extLst>
      <x:ext xmlns:xltc2="http://schemas.microsoft.com/office/spreadsheetml/2020/threadedcomments2" uri="{F7C98A9C-CBB3-438F-8F68-D28B6AF4A901}">
        <xltc2:checksum>1357684897</xltc2:checksum>
        <xltc2:hyperlink startIndex="0" length="28" url="https://youtu.be/62-hmiGJXYE"/>
      </x:ext>
    </extLst>
  </threadedComment>
  <threadedComment ref="G36" dT="2024-09-24T13:35:37.36" personId="{5C673E53-5491-4D87-9DAA-F37983F41F1E}" id="{79695FDF-B34B-4CD7-A485-DD3993697800}">
    <text>https://youtu.be/uKDT1tyRa0o</text>
    <extLst>
      <x:ext xmlns:xltc2="http://schemas.microsoft.com/office/spreadsheetml/2020/threadedcomments2" uri="{F7C98A9C-CBB3-438F-8F68-D28B6AF4A901}">
        <xltc2:checksum>3269282132</xltc2:checksum>
        <xltc2:hyperlink startIndex="0" length="28" url="https://youtu.be/uKDT1tyRa0o"/>
      </x:ext>
    </extLst>
  </threadedComment>
  <threadedComment ref="G37" dT="2024-09-24T13:35:51.11" personId="{5C673E53-5491-4D87-9DAA-F37983F41F1E}" id="{515E0DC9-F14A-4805-8BF6-9867A7927FFE}">
    <text>https://youtu.be/bPIcnBHpT6Y</text>
    <extLst>
      <x:ext xmlns:xltc2="http://schemas.microsoft.com/office/spreadsheetml/2020/threadedcomments2" uri="{F7C98A9C-CBB3-438F-8F68-D28B6AF4A901}">
        <xltc2:checksum>1916238175</xltc2:checksum>
        <xltc2:hyperlink startIndex="0" length="28" url="https://youtu.be/bPIcnBHpT6Y"/>
      </x:ext>
    </extLst>
  </threadedComment>
  <threadedComment ref="G38" dT="2024-09-24T13:36:00.76" personId="{5C673E53-5491-4D87-9DAA-F37983F41F1E}" id="{04F4B2EE-CF28-4674-9B78-FB83BE3AD090}">
    <text>https://youtu.be/sDKMJbn4WLg</text>
    <extLst>
      <x:ext xmlns:xltc2="http://schemas.microsoft.com/office/spreadsheetml/2020/threadedcomments2" uri="{F7C98A9C-CBB3-438F-8F68-D28B6AF4A901}">
        <xltc2:checksum>3614089877</xltc2:checksum>
        <xltc2:hyperlink startIndex="0" length="28" url="https://youtu.be/sDKMJbn4WLg"/>
      </x:ext>
    </extLst>
  </threadedComment>
  <threadedComment ref="G39" dT="2024-09-24T13:36:09.70" personId="{5C673E53-5491-4D87-9DAA-F37983F41F1E}" id="{7BD560FD-4C80-4D75-9D65-5C05930220DD}">
    <text>https://youtu.be/1PF-enQC-8s</text>
    <extLst>
      <x:ext xmlns:xltc2="http://schemas.microsoft.com/office/spreadsheetml/2020/threadedcomments2" uri="{F7C98A9C-CBB3-438F-8F68-D28B6AF4A901}">
        <xltc2:checksum>1638090362</xltc2:checksum>
        <xltc2:hyperlink startIndex="0" length="28" url="https://youtu.be/1PF-enQC-8s"/>
      </x:ext>
    </extLst>
  </threadedComment>
  <threadedComment ref="G40" dT="2024-09-24T13:36:18.59" personId="{5C673E53-5491-4D87-9DAA-F37983F41F1E}" id="{9C29B8AC-F711-4946-9ADE-B521A9F7453B}">
    <text>https://youtu.be/e42GvC1IqHI</text>
    <extLst>
      <x:ext xmlns:xltc2="http://schemas.microsoft.com/office/spreadsheetml/2020/threadedcomments2" uri="{F7C98A9C-CBB3-438F-8F68-D28B6AF4A901}">
        <xltc2:checksum>997034085</xltc2:checksum>
        <xltc2:hyperlink startIndex="0" length="28" url="https://youtu.be/e42GvC1IqHI"/>
      </x:ext>
    </extLst>
  </threadedComment>
  <threadedComment ref="G41" dT="2024-09-24T13:36:30.78" personId="{5C673E53-5491-4D87-9DAA-F37983F41F1E}" id="{651A7267-B869-449D-9B99-8F9497925FC6}">
    <text>https://youtu.be/3yRU5Yu3JPc</text>
    <extLst>
      <x:ext xmlns:xltc2="http://schemas.microsoft.com/office/spreadsheetml/2020/threadedcomments2" uri="{F7C98A9C-CBB3-438F-8F68-D28B6AF4A901}">
        <xltc2:checksum>2382445148</xltc2:checksum>
        <xltc2:hyperlink startIndex="0" length="28" url="https://youtu.be/3yRU5Yu3JPc"/>
      </x:ext>
    </extLst>
  </threadedComment>
  <threadedComment ref="G42" dT="2024-09-24T13:36:40.09" personId="{5C673E53-5491-4D87-9DAA-F37983F41F1E}" id="{254D4EE7-35D6-4C28-B8AF-3BA4A67885D0}">
    <text>https://youtu.be/rMA37TGxjlQ</text>
    <extLst>
      <x:ext xmlns:xltc2="http://schemas.microsoft.com/office/spreadsheetml/2020/threadedcomments2" uri="{F7C98A9C-CBB3-438F-8F68-D28B6AF4A901}">
        <xltc2:checksum>2766726633</xltc2:checksum>
        <xltc2:hyperlink startIndex="0" length="28" url="https://youtu.be/rMA37TGxjlQ"/>
      </x:ext>
    </extLst>
  </threadedComment>
  <threadedComment ref="G43" dT="2024-09-24T13:36:49.31" personId="{5C673E53-5491-4D87-9DAA-F37983F41F1E}" id="{D303DD5F-7DC1-42FF-8D7A-AC69CC170023}">
    <text>https://youtu.be/lp12iVyPZL4</text>
    <extLst>
      <x:ext xmlns:xltc2="http://schemas.microsoft.com/office/spreadsheetml/2020/threadedcomments2" uri="{F7C98A9C-CBB3-438F-8F68-D28B6AF4A901}">
        <xltc2:checksum>16977457</xltc2:checksum>
        <xltc2:hyperlink startIndex="0" length="28" url="https://youtu.be/lp12iVyPZL4"/>
      </x:ext>
    </extLst>
  </threadedComment>
  <threadedComment ref="G44" dT="2024-09-24T13:36:55.67" personId="{5C673E53-5491-4D87-9DAA-F37983F41F1E}" id="{DED81163-09A1-464D-96F6-4070EB9EDD1C}">
    <text>https://youtu.be/lRNX75Y1AbY</text>
    <extLst>
      <x:ext xmlns:xltc2="http://schemas.microsoft.com/office/spreadsheetml/2020/threadedcomments2" uri="{F7C98A9C-CBB3-438F-8F68-D28B6AF4A901}">
        <xltc2:checksum>477374051</xltc2:checksum>
        <xltc2:hyperlink startIndex="0" length="28" url="https://youtu.be/lRNX75Y1AbY"/>
      </x:ext>
    </extLst>
  </threadedComment>
  <threadedComment ref="G45" dT="2024-09-24T13:37:18.19" personId="{5C673E53-5491-4D87-9DAA-F37983F41F1E}" id="{F25DCA1F-3AAB-4774-8686-7EA5E999EA09}">
    <text>https://youtu.be/4iOFBEJ_3DY</text>
    <extLst>
      <x:ext xmlns:xltc2="http://schemas.microsoft.com/office/spreadsheetml/2020/threadedcomments2" uri="{F7C98A9C-CBB3-438F-8F68-D28B6AF4A901}">
        <xltc2:checksum>2312719686</xltc2:checksum>
        <xltc2:hyperlink startIndex="0" length="28" url="https://youtu.be/4iOFBEJ_3DY"/>
      </x:ext>
    </extLst>
  </threadedComment>
  <threadedComment ref="G46" dT="2024-09-24T13:37:31.50" personId="{5C673E53-5491-4D87-9DAA-F37983F41F1E}" id="{969AE0FC-C2E7-4B2E-A8D0-25E1BC91FE21}">
    <text>https://youtu.be/r_dRG6GoavA</text>
    <extLst>
      <x:ext xmlns:xltc2="http://schemas.microsoft.com/office/spreadsheetml/2020/threadedcomments2" uri="{F7C98A9C-CBB3-438F-8F68-D28B6AF4A901}">
        <xltc2:checksum>1917206863</xltc2:checksum>
        <xltc2:hyperlink startIndex="0" length="28" url="https://youtu.be/r_dRG6GoavA"/>
      </x:ext>
    </extLst>
  </threadedComment>
  <threadedComment ref="G47" dT="2024-09-24T13:37:39.17" personId="{5C673E53-5491-4D87-9DAA-F37983F41F1E}" id="{EA9884EE-C098-4762-BCB5-EE1381FAEEAB}">
    <text>https://youtu.be/wuqN2KWfUwk</text>
    <extLst>
      <x:ext xmlns:xltc2="http://schemas.microsoft.com/office/spreadsheetml/2020/threadedcomments2" uri="{F7C98A9C-CBB3-438F-8F68-D28B6AF4A901}">
        <xltc2:checksum>1900541336</xltc2:checksum>
        <xltc2:hyperlink startIndex="0" length="28" url="https://youtu.be/wuqN2KWfUwk"/>
      </x:ext>
    </extLst>
  </threadedComment>
  <threadedComment ref="G48" dT="2024-09-24T13:37:52.55" personId="{5C673E53-5491-4D87-9DAA-F37983F41F1E}" id="{A420DAFD-461F-430D-B913-D9647C545B9D}">
    <text>https://youtu.be/Us5_X1wMesk</text>
    <extLst>
      <x:ext xmlns:xltc2="http://schemas.microsoft.com/office/spreadsheetml/2020/threadedcomments2" uri="{F7C98A9C-CBB3-438F-8F68-D28B6AF4A901}">
        <xltc2:checksum>2994417525</xltc2:checksum>
        <xltc2:hyperlink startIndex="0" length="28" url="https://youtu.be/Us5_X1wMesk"/>
      </x:ext>
    </extLst>
  </threadedComment>
  <threadedComment ref="G49" dT="2024-09-24T13:38:04.30" personId="{5C673E53-5491-4D87-9DAA-F37983F41F1E}" id="{9149699A-A1D5-43CF-A819-81EA0F22FFA9}">
    <text>https://youtu.be/U99wLn8ZXLU</text>
    <extLst>
      <x:ext xmlns:xltc2="http://schemas.microsoft.com/office/spreadsheetml/2020/threadedcomments2" uri="{F7C98A9C-CBB3-438F-8F68-D28B6AF4A901}">
        <xltc2:checksum>913133408</xltc2:checksum>
        <xltc2:hyperlink startIndex="0" length="28" url="https://youtu.be/U99wLn8ZXLU"/>
      </x:ext>
    </extLst>
  </threadedComment>
  <threadedComment ref="G50" dT="2024-09-24T13:38:12.60" personId="{5C673E53-5491-4D87-9DAA-F37983F41F1E}" id="{7AF0747D-A236-4A64-9466-6C5AD6E7C598}">
    <text>https://youtu.be/uZIxec-dzTE</text>
    <extLst>
      <x:ext xmlns:xltc2="http://schemas.microsoft.com/office/spreadsheetml/2020/threadedcomments2" uri="{F7C98A9C-CBB3-438F-8F68-D28B6AF4A901}">
        <xltc2:checksum>1572746779</xltc2:checksum>
        <xltc2:hyperlink startIndex="0" length="28" url="https://youtu.be/uZIxec-dzTE"/>
      </x:ext>
    </extLst>
  </threadedComment>
  <threadedComment ref="G51" dT="2024-09-24T13:38:18.47" personId="{5C673E53-5491-4D87-9DAA-F37983F41F1E}" id="{A3E56AE7-21B9-4E4D-B4CF-E0C2712A4AAD}">
    <text>https://youtu.be/LXNQ0LlN07o</text>
    <extLst>
      <x:ext xmlns:xltc2="http://schemas.microsoft.com/office/spreadsheetml/2020/threadedcomments2" uri="{F7C98A9C-CBB3-438F-8F68-D28B6AF4A901}">
        <xltc2:checksum>2244363283</xltc2:checksum>
        <xltc2:hyperlink startIndex="0" length="28" url="https://youtu.be/LXNQ0LlN07o"/>
      </x:ext>
    </extLst>
  </threadedComment>
  <threadedComment ref="G52" dT="2024-09-24T13:38:27.27" personId="{5C673E53-5491-4D87-9DAA-F37983F41F1E}" id="{C849CB30-4541-4B44-97A5-1F2EEEF8DF7F}">
    <text>https://youtu.be/PHJpRlJdYs4</text>
    <extLst>
      <x:ext xmlns:xltc2="http://schemas.microsoft.com/office/spreadsheetml/2020/threadedcomments2" uri="{F7C98A9C-CBB3-438F-8F68-D28B6AF4A901}">
        <xltc2:checksum>795470695</xltc2:checksum>
        <xltc2:hyperlink startIndex="0" length="28" url="https://youtu.be/PHJpRlJdYs4"/>
      </x:ext>
    </extLst>
  </threadedComment>
  <threadedComment ref="K78" dT="2024-06-12T18:53:04.00" personId="{68206565-0EBE-402D-9F1D-64A9D110BADE}" id="{4A602641-D735-4537-AF7B-1B54898BA4BB}">
    <text>ID anterior 2390P013460 (sem trilha de abertura)</text>
  </threadedComment>
  <threadedComment ref="G79" dT="2024-07-16T16:09:42.31" personId="{5C673E53-5491-4D87-9DAA-F37983F41F1E}" id="{E7DBD147-67A3-40A6-BFC0-FE9F5EA8DB48}">
    <text>Link antigo: https://youtu.be/03pIBSiAqRU</text>
    <extLst>
      <x:ext xmlns:xltc2="http://schemas.microsoft.com/office/spreadsheetml/2020/threadedcomments2" uri="{F7C98A9C-CBB3-438F-8F68-D28B6AF4A901}">
        <xltc2:checksum>4106744069</xltc2:checksum>
        <xltc2:hyperlink startIndex="13" length="28" url="https://youtu.be/03pIBSiAqRU"/>
      </x:ext>
    </extLst>
  </threadedComment>
  <threadedComment ref="K84" dT="2024-06-12T18:52:02.01" personId="{68206565-0EBE-402D-9F1D-64A9D110BADE}" id="{835CF3D1-F546-4351-B637-A11A504AF8AC}">
    <text>ID anterior 2390P013466 (sem trilha de abertura)</text>
  </threadedComment>
  <threadedComment ref="G85" dT="2024-07-16T16:11:07.83" personId="{5C673E53-5491-4D87-9DAA-F37983F41F1E}" id="{DC9BFAFE-D8E7-4CFA-8DBE-A002E1FB02DF}">
    <text>Link antigo: https://youtu.be/qxdHc9mxTmM</text>
    <extLst>
      <x:ext xmlns:xltc2="http://schemas.microsoft.com/office/spreadsheetml/2020/threadedcomments2" uri="{F7C98A9C-CBB3-438F-8F68-D28B6AF4A901}">
        <xltc2:checksum>686946329</xltc2:checksum>
        <xltc2:hyperlink startIndex="13" length="28" url="https://youtu.be/qxdHc9mxTmM"/>
      </x:ext>
    </extLst>
  </threadedComment>
  <threadedComment ref="G86" dT="2024-07-16T16:11:22.63" personId="{5C673E53-5491-4D87-9DAA-F37983F41F1E}" id="{0772AA62-28C2-49EB-AA5B-29E4E02312BF}">
    <text>Link antigo: https://youtu.be/ARPXcNF7A3A</text>
    <extLst>
      <x:ext xmlns:xltc2="http://schemas.microsoft.com/office/spreadsheetml/2020/threadedcomments2" uri="{F7C98A9C-CBB3-438F-8F68-D28B6AF4A901}">
        <xltc2:checksum>2624046955</xltc2:checksum>
        <xltc2:hyperlink startIndex="13" length="28" url="https://youtu.be/ARPXcNF7A3A"/>
      </x:ext>
    </extLst>
  </threadedComment>
  <threadedComment ref="G87" dT="2024-07-16T16:11:40.96" personId="{5C673E53-5491-4D87-9DAA-F37983F41F1E}" id="{E54E651C-BC2E-4416-A26D-FCE7C61321FF}">
    <text>Link antigo: https://youtu.be/g4ntV0gthb0</text>
    <extLst>
      <x:ext xmlns:xltc2="http://schemas.microsoft.com/office/spreadsheetml/2020/threadedcomments2" uri="{F7C98A9C-CBB3-438F-8F68-D28B6AF4A901}">
        <xltc2:checksum>1286504709</xltc2:checksum>
        <xltc2:hyperlink startIndex="13" length="28" url="https://youtu.be/g4ntV0gthb0"/>
      </x:ext>
    </extLst>
  </threadedComment>
  <threadedComment ref="G88" dT="2024-07-16T16:12:00.41" personId="{5C673E53-5491-4D87-9DAA-F37983F41F1E}" id="{B4A3D233-ADF1-42B0-A291-C074153FD2DF}">
    <text>Link antigo: https://youtu.be/Ov4j8xxZAHE</text>
    <extLst>
      <x:ext xmlns:xltc2="http://schemas.microsoft.com/office/spreadsheetml/2020/threadedcomments2" uri="{F7C98A9C-CBB3-438F-8F68-D28B6AF4A901}">
        <xltc2:checksum>2490582462</xltc2:checksum>
        <xltc2:hyperlink startIndex="13" length="28" url="https://youtu.be/Ov4j8xxZAHE"/>
      </x:ext>
    </extLst>
  </threadedComment>
  <threadedComment ref="G93" dT="2024-07-16T16:13:47.07" personId="{5C673E53-5491-4D87-9DAA-F37983F41F1E}" id="{26AE18A6-5BFC-4B4D-85AB-37AFC45A93C5}">
    <text>Link antigo: https://youtu.be/JcJUcm71lh4</text>
    <extLst>
      <x:ext xmlns:xltc2="http://schemas.microsoft.com/office/spreadsheetml/2020/threadedcomments2" uri="{F7C98A9C-CBB3-438F-8F68-D28B6AF4A901}">
        <xltc2:checksum>1189279969</xltc2:checksum>
        <xltc2:hyperlink startIndex="13" length="28" url="https://youtu.be/JcJUcm71lh4"/>
      </x:ext>
    </extLst>
  </threadedComment>
  <threadedComment ref="K93" dT="2024-11-01T23:47:06.42" personId="{68206565-0EBE-402D-9F1D-64A9D110BADE}" id="{21E24857-FBAD-49C3-8A97-0BCF80349CA1}">
    <text>ID anterior 2390P015414 (foi aprovada a aula 01)</text>
  </threadedComment>
  <threadedComment ref="G103" dT="2024-09-26T15:13:29.46" personId="{5C673E53-5491-4D87-9DAA-F37983F41F1E}" id="{CFD77154-CBD3-49EA-A522-F91FC16F8EEF}">
    <text>https://youtu.be/3vUYZjTumTU</text>
    <extLst>
      <x:ext xmlns:xltc2="http://schemas.microsoft.com/office/spreadsheetml/2020/threadedcomments2" uri="{F7C98A9C-CBB3-438F-8F68-D28B6AF4A901}">
        <xltc2:checksum>3123017287</xltc2:checksum>
        <xltc2:hyperlink startIndex="0" length="28" url="https://youtu.be/3vUYZjTumTU"/>
      </x:ext>
    </extLst>
  </threadedComment>
  <threadedComment ref="G103" dT="2024-09-26T16:47:37.03" personId="{5C673E53-5491-4D87-9DAA-F37983F41F1E}" id="{CA41137C-CF25-4B6F-B17D-A0D02437D459}" parentId="{CFD77154-CBD3-49EA-A522-F91FC16F8EEF}">
    <text>@Paula de Lima Suzart link trocado o anterior deu erro na conversão e não estava completo</text>
    <mentions>
      <mention mentionpersonId="{7430C736-E12B-4625-9728-798023ED24D7}" mentionId="{903B8563-7938-4211-90F4-ED8E4D880F5B}" startIndex="0" length="21"/>
    </mentions>
  </threadedComment>
  <threadedComment ref="G130" dT="2024-09-19T16:10:28.56" personId="{5C673E53-5491-4D87-9DAA-F37983F41F1E}" id="{C6CF55A1-7893-4E69-AEE0-FE71F653CBF1}">
    <text>Link antigo: https://youtu.be/B1Yg_NASNx8</text>
    <extLst>
      <x:ext xmlns:xltc2="http://schemas.microsoft.com/office/spreadsheetml/2020/threadedcomments2" uri="{F7C98A9C-CBB3-438F-8F68-D28B6AF4A901}">
        <xltc2:checksum>2535909993</xltc2:checksum>
        <xltc2:hyperlink startIndex="13" length="28" url="https://youtu.be/B1Yg_NASNx8"/>
      </x:ext>
    </extLst>
  </threadedComment>
  <threadedComment ref="G130" dT="2024-09-26T19:39:28.83" personId="{5C673E53-5491-4D87-9DAA-F37983F41F1E}" id="{DF0E9F69-ABB8-427B-90B9-CB5BB291D917}" parentId="{C6CF55A1-7893-4E69-AEE0-FE71F653CBF1}">
    <text>@Paula de Lima Suzart link trocado o anterior estava com o título da aula incorreto na vht</text>
    <mentions>
      <mention mentionpersonId="{7430C736-E12B-4625-9728-798023ED24D7}" mentionId="{3D131778-FACD-4945-9225-9924B15B98EC}" startIndex="0" length="21"/>
    </mentions>
  </threadedComment>
  <threadedComment ref="G179" dT="2024-09-24T14:06:27.15" personId="{5C673E53-5491-4D87-9DAA-F37983F41F1E}" id="{66E775D5-0D52-402E-B12D-665367F8181B}">
    <text>https://youtu.be/pOSaWmwx9rI</text>
    <extLst>
      <x:ext xmlns:xltc2="http://schemas.microsoft.com/office/spreadsheetml/2020/threadedcomments2" uri="{F7C98A9C-CBB3-438F-8F68-D28B6AF4A901}">
        <xltc2:checksum>3217601351</xltc2:checksum>
        <xltc2:hyperlink startIndex="0" length="28" url="https://youtu.be/pOSaWmwx9rI"/>
      </x:ext>
    </extLst>
  </threadedComment>
  <threadedComment ref="G179" dT="2024-09-27T18:37:17.39" personId="{5C673E53-5491-4D87-9DAA-F37983F41F1E}" id="{06A05080-3557-4B14-9890-07A3F989A9CE}" parentId="{66E775D5-0D52-402E-B12D-665367F8181B}">
    <text xml:space="preserve">@Paula de Lima Suzart </text>
    <mentions>
      <mention mentionpersonId="{7430C736-E12B-4625-9728-798023ED24D7}" mentionId="{E7D43AD1-9618-4494-ACD9-8811FBCA7735}" startIndex="0" length="21"/>
    </mentions>
  </threadedComment>
  <threadedComment ref="G180" dT="2024-09-27T18:35:17.98" personId="{5C673E53-5491-4D87-9DAA-F37983F41F1E}" id="{7E33669E-E350-4ECB-9B07-85EA78F295BA}">
    <text xml:space="preserve">@Paula de Lima Suzart </text>
    <mentions>
      <mention mentionpersonId="{7430C736-E12B-4625-9728-798023ED24D7}" mentionId="{32D89A9A-E3EE-489E-AB0A-A146930C7C24}" startIndex="0" length="21"/>
    </mentions>
  </threadedComment>
  <threadedComment ref="K181" dT="2024-04-30T21:53:18.26" personId="{68206565-0EBE-402D-9F1D-64A9D110BADE}" id="{A6EA22F4-411E-4698-B1F4-2E190CD63887}">
    <text>ID anterior 2390P014056 (áudio com ruído)</text>
  </threadedComment>
  <threadedComment ref="K183" dT="2024-04-30T21:53:28.41" personId="{68206565-0EBE-402D-9F1D-64A9D110BADE}" id="{567790F9-E3DD-423D-BF7E-4945A6D326DF}">
    <text>ID anterior 2390P014058 (áudio com ruído)</text>
  </threadedComment>
  <threadedComment ref="K184" dT="2024-04-30T21:53:40.02" personId="{68206565-0EBE-402D-9F1D-64A9D110BADE}" id="{ED3CDDCF-9B1F-4272-A4B0-36209AD800B5}">
    <text>ID anterior 2390P014059 (áudio com ruído)</text>
  </threadedComment>
  <threadedComment ref="K185" dT="2024-04-30T21:53:59.73" personId="{68206565-0EBE-402D-9F1D-64A9D110BADE}" id="{AE3AFF9C-7234-480C-AD57-E966AABE7838}">
    <text>ID anterior 2390P014060 (áudio com ruído)</text>
  </threadedComment>
  <threadedComment ref="K186" dT="2024-04-30T21:54:09.38" personId="{68206565-0EBE-402D-9F1D-64A9D110BADE}" id="{36F3BD17-FE6E-4F4C-913A-C12F44878AF0}">
    <text>ID anterior 2390P014439 (áudio com ruído)</text>
  </threadedComment>
  <threadedComment ref="G189" dT="2024-09-18T18:46:52.75" personId="{5C673E53-5491-4D87-9DAA-F37983F41F1E}" id="{53059942-8CC6-49D7-B446-CAD70BA5E958}">
    <text>Link antigo: https://youtu.be/-tVKXLIV2HI</text>
    <extLst>
      <x:ext xmlns:xltc2="http://schemas.microsoft.com/office/spreadsheetml/2020/threadedcomments2" uri="{F7C98A9C-CBB3-438F-8F68-D28B6AF4A901}">
        <xltc2:checksum>4041156241</xltc2:checksum>
        <xltc2:hyperlink startIndex="13" length="28" url="https://youtu.be/-tVKXLIV2HI"/>
      </x:ext>
    </extLst>
  </threadedComment>
  <threadedComment ref="G189" dT="2024-09-18T19:00:51.49" personId="{5C673E53-5491-4D87-9DAA-F37983F41F1E}" id="{80B7F9D7-E11A-4808-80E7-5BC4DCB0D93D}" parentId="{53059942-8CC6-49D7-B446-CAD70BA5E958}">
    <text>@Wesley de Souza Lima link trocado, feita alteração pedida pela professora</text>
    <mentions>
      <mention mentionpersonId="{FAFAC3B1-BCB2-4CCD-8399-1061921B262D}" mentionId="{05BD49CA-4A74-4DDC-A719-24EE66CE3915}" startIndex="0" length="21"/>
    </mentions>
  </threadedComment>
  <threadedComment ref="G189" dT="2024-09-19T13:28:55.08" personId="{C298E7F8-184F-4545-B16A-2FCAE76073EA}" id="{02649D65-2BAE-43EE-8AAC-BFA47325C29D}" parentId="{53059942-8CC6-49D7-B446-CAD70BA5E958}">
    <text>@Raquel PSC - Já foi alterado no AVA</text>
    <mentions>
      <mention mentionpersonId="{52772C2E-A4A9-4FA6-B399-E80F2F57E840}" mentionId="{74CB6E73-0493-47C7-ABEB-286AF43FF294}" startIndex="0" length="7"/>
    </mentions>
  </threadedComment>
  <threadedComment ref="K193" dT="2024-06-25T22:25:44.42" personId="{68206565-0EBE-402D-9F1D-64A9D110BADE}" id="{F56DE56A-00C1-45A9-81EC-23DE66DA57F9}">
    <text>ID anterior 2390P014530 (professora regravou)</text>
  </threadedComment>
  <threadedComment ref="K198" dT="2024-06-12T18:47:32.03" personId="{68206565-0EBE-402D-9F1D-64A9D110BADE}" id="{CE4BA95F-615C-4B7B-B6E0-1A38ABD8032F}">
    <text>ID anterior 2390P014535 (aula não vale mais)</text>
  </threadedComment>
</ThreadedComments>
</file>

<file path=xl/threadedComments/threadedComment5.xml><?xml version="1.0" encoding="utf-8"?>
<ThreadedComments xmlns="http://schemas.microsoft.com/office/spreadsheetml/2018/threadedcomments" xmlns:x="http://schemas.openxmlformats.org/spreadsheetml/2006/main">
  <threadedComment ref="G1" dT="2024-04-03T18:18:48.07" personId="{B6D0FB8D-8A0D-4EA2-8D6F-6379B072E149}" id="{DD8CF017-D939-4B8A-8237-B42D951A48BC}">
    <text xml:space="preserve">Definir datas de entrega para 1 e 2. </text>
  </threadedComment>
  <threadedComment ref="G1" dT="2024-04-03T18:21:14.84" personId="{B6D0FB8D-8A0D-4EA2-8D6F-6379B072E149}" id="{3DE0D610-4AA4-4F5D-896E-031DFCDC7639}" parentId="{DD8CF017-D939-4B8A-8237-B42D951A48BC}">
    <text>Início 3bi: 29jul
Início 4bi: 30set</text>
  </threadedComment>
  <threadedComment ref="J93" dT="2024-07-01T14:40:32.58" personId="{B6D0FB8D-8A0D-4EA2-8D6F-6379B072E149}" id="{76A68303-8A44-40C7-87FD-78E1A41AFF14}">
    <text xml:space="preserve">@Paula de Lima Conceicao , pelo que vi no AVA o link para videoaula da quinzena 2 com audiodescrição não está ainda lá. </text>
    <mentions>
      <mention mentionpersonId="{977C7849-A637-4CFF-99ED-DDA849F71BB4}" mentionId="{EBB7B5B2-B51F-4C85-A69D-0D794323E80F}" startIndex="0" length="24"/>
    </mentions>
  </threadedComment>
  <threadedComment ref="E99" dT="2024-05-24T18:42:11.30" personId="{68206565-0EBE-402D-9F1D-64A9D110BADE}" id="{FBF76536-B502-4D92-B1E7-CAF54FBEC8BF}">
    <text>@Larissa Marcela dos Santos                 ID pronto: 2390P001184</text>
    <mentions>
      <mention mentionpersonId="{5C06E0FD-BB27-4D4E-ADC6-A73B1523C3A7}" mentionId="{8AC78C44-03E4-484F-B21C-B4158494CADB}" startIndex="0" length="27"/>
    </mentions>
  </threadedComment>
  <threadedComment ref="E100" dT="2024-05-24T18:51:17.68" personId="{68206565-0EBE-402D-9F1D-64A9D110BADE}" id="{4762FC42-E96A-4ADC-B6EF-4CAFE99AC604}">
    <text>@Larissa Marcela dos Santos                 ID pronto: 2390P007059</text>
    <mentions>
      <mention mentionpersonId="{5C06E0FD-BB27-4D4E-ADC6-A73B1523C3A7}" mentionId="{70946FB3-F23B-43C0-9FC6-40EA9A66D24C}" startIndex="0" length="27"/>
    </mentions>
  </threadedComment>
  <threadedComment ref="E101" dT="2024-05-24T18:54:41.79" personId="{68206565-0EBE-402D-9F1D-64A9D110BADE}" id="{D1F67EF4-DD06-4A82-BB23-804AD1267256}">
    <text>@Larissa Marcela dos Santos                 ID pronto: 2390P004467
ID libras: 2390P006881
ID AD: 2390P006882</text>
    <mentions>
      <mention mentionpersonId="{5C06E0FD-BB27-4D4E-ADC6-A73B1523C3A7}" mentionId="{AC438F6B-EE35-4123-81FA-8DDD6189EA80}" startIndex="0" length="27"/>
    </mentions>
  </threadedComment>
  <threadedComment ref="E102" dT="2024-05-24T18:56:42.58" personId="{68206565-0EBE-402D-9F1D-64A9D110BADE}" id="{7A41716F-AD87-4EE3-817C-9AB32AFBC63A}">
    <text>@Larissa Marcela dos Santos                 ID pronto: 2390P009265</text>
    <mentions>
      <mention mentionpersonId="{5C06E0FD-BB27-4D4E-ADC6-A73B1523C3A7}" mentionId="{B0063470-DA44-489A-B359-D5DFAB32C7A0}" startIndex="0" length="27"/>
    </mentions>
  </threadedComment>
  <threadedComment ref="E103" dT="2024-05-24T23:18:30.55" personId="{68206565-0EBE-402D-9F1D-64A9D110BADE}" id="{3DCFBC07-930E-453C-B55B-79EFA8B3FCF8}">
    <text>@Larissa Marcela dos Santos                 ID pronto: 2390P007060</text>
    <mentions>
      <mention mentionpersonId="{5C06E0FD-BB27-4D4E-ADC6-A73B1523C3A7}" mentionId="{02E38908-CB42-43C7-AAA2-86B6DA3ECA4A}" startIndex="0" length="27"/>
    </mentions>
  </threadedComment>
  <threadedComment ref="E104" dT="2024-05-24T23:20:13.10" personId="{68206565-0EBE-402D-9F1D-64A9D110BADE}" id="{0B10F6B0-3C60-427D-878A-075F10727DF1}">
    <text>@Larissa Marcela dos Santos                 ID pronto: 2390P004653
ID libras: 2390P005425
ID AD: 2390P004853</text>
    <mentions>
      <mention mentionpersonId="{5C06E0FD-BB27-4D4E-ADC6-A73B1523C3A7}" mentionId="{78DA2911-B5CC-4B3D-B560-B4B7B1ADE6D0}" startIndex="0" length="27"/>
    </mentions>
  </threadedComment>
  <threadedComment ref="E105" dT="2024-05-24T23:21:31.32" personId="{68206565-0EBE-402D-9F1D-64A9D110BADE}" id="{E32A0A48-3346-4356-8D8B-BDE5F049CB94}">
    <text>@Larissa Marcela dos Santos 
mesmos IDs da linha 79</text>
    <mentions>
      <mention mentionpersonId="{5C06E0FD-BB27-4D4E-ADC6-A73B1523C3A7}" mentionId="{70C4752B-8727-468F-BB37-B6C8C312D1A4}" startIndex="0" length="27"/>
    </mentions>
  </threadedComment>
  <threadedComment ref="E106" dT="2024-05-24T23:23:10.06" personId="{68206565-0EBE-402D-9F1D-64A9D110BADE}" id="{65681E47-4D14-47AD-A118-9ED9DBCD68A4}">
    <text>@Larissa Marcela dos Santos                 ID pronto: 2390P004417
ID libras: 2390P005423
ID AD: 2390P004850</text>
    <mentions>
      <mention mentionpersonId="{5C06E0FD-BB27-4D4E-ADC6-A73B1523C3A7}" mentionId="{E52A3C40-F13E-43C3-BFCA-B90D5B504B84}" startIndex="0" length="27"/>
    </mentions>
  </threadedComment>
  <threadedComment ref="E107" dT="2024-05-24T23:23:58.64" personId="{68206565-0EBE-402D-9F1D-64A9D110BADE}" id="{99EC424C-2B7F-46C8-B212-87E4D8C14400}">
    <text>@Larissa Marcela dos Santos 
mesmo ID da linha 80</text>
    <mentions>
      <mention mentionpersonId="{5C06E0FD-BB27-4D4E-ADC6-A73B1523C3A7}" mentionId="{05C63493-8F1E-4641-B43F-7274D4B8CD60}" startIndex="0" length="27"/>
    </mentions>
  </threadedComment>
  <threadedComment ref="E108" dT="2024-05-24T23:26:11.17" personId="{68206565-0EBE-402D-9F1D-64A9D110BADE}" id="{4558119C-4DEF-45D3-B2CE-300B2ADFE59A}">
    <text>@Larissa Marcela dos Santos                 ID pronto: 2390P004652
ID libras: 2390P005424
ID AD: 2390P004852</text>
    <mentions>
      <mention mentionpersonId="{5C06E0FD-BB27-4D4E-ADC6-A73B1523C3A7}" mentionId="{9258F78D-99C9-4291-AC14-D0C3D171043E}" startIndex="0" length="27"/>
    </mentions>
  </threadedComment>
  <threadedComment ref="E109" dT="2024-05-24T23:26:42.08" personId="{68206565-0EBE-402D-9F1D-64A9D110BADE}" id="{C4103E45-1698-4089-BD04-E9EA5F28313A}">
    <text>@Larissa Marcela dos Santos 
mesmos IDs da linha 86</text>
    <mentions>
      <mention mentionpersonId="{5C06E0FD-BB27-4D4E-ADC6-A73B1523C3A7}" mentionId="{DE3511C8-FE54-43F7-A347-8B7313F02D07}" startIndex="0" length="27"/>
    </mentions>
  </threadedComment>
  <threadedComment ref="E110" dT="2024-05-24T23:28:20.60" personId="{68206565-0EBE-402D-9F1D-64A9D110BADE}" id="{C0FAF353-BEA1-401D-B082-8DD26F4EDAA8}">
    <text>@Larissa Marcela dos Santos                 ID pronto: 2390P006731</text>
    <mentions>
      <mention mentionpersonId="{5C06E0FD-BB27-4D4E-ADC6-A73B1523C3A7}" mentionId="{6207BB44-4E58-4AB3-B64B-8706E22AB506}" startIndex="0" length="27"/>
    </mentions>
  </threadedComment>
  <threadedComment ref="E111" dT="2024-05-24T23:28:46.02" personId="{68206565-0EBE-402D-9F1D-64A9D110BADE}" id="{B6E71435-B8A1-4ABB-92F3-D2339981417E}">
    <text>@Larissa Marcela dos Santos                 ID pronto: 2390P006732</text>
    <mentions>
      <mention mentionpersonId="{5C06E0FD-BB27-4D4E-ADC6-A73B1523C3A7}" mentionId="{3C990A26-3EB3-4227-90B8-C3F776422303}" startIndex="0" length="27"/>
    </mentions>
  </threadedComment>
  <threadedComment ref="G259" dT="2024-10-16T16:38:14.80" personId="{5C673E53-5491-4D87-9DAA-F37983F41F1E}" id="{2BACE2B1-111A-42C3-91AB-9FC6DFA24308}" done="1">
    <text xml:space="preserve">@Paula de Lima Suzart </text>
    <mentions>
      <mention mentionpersonId="{7430C736-E12B-4625-9728-798023ED24D7}" mentionId="{41DFF50A-A51D-4462-9940-9FEC75C93135}" startIndex="0" length="21"/>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G2" dT="2024-07-18T15:03:37.93" personId="{5C673E53-5491-4D87-9DAA-F37983F41F1E}" id="{4F7F6FAA-4DA9-43CA-911B-617913639107}">
    <text>Link antigo: https://youtu.be/-lH80Ox46Sk</text>
    <extLst>
      <x:ext xmlns:xltc2="http://schemas.microsoft.com/office/spreadsheetml/2020/threadedcomments2" uri="{F7C98A9C-CBB3-438F-8F68-D28B6AF4A901}">
        <xltc2:checksum>3756007294</xltc2:checksum>
        <xltc2:hyperlink startIndex="13" length="28" url="https://youtu.be/-lH80Ox46Sk"/>
      </x:ext>
    </extLst>
  </threadedComment>
  <threadedComment ref="K2" dT="2024-07-16T18:43:37.82" personId="{5C673E53-5491-4D87-9DAA-F37983F41F1E}" id="{EB787927-D529-4A42-A768-203FC574FD8D}">
    <text>Id antigo: 2390P015435</text>
  </threadedComment>
  <threadedComment ref="K2" dT="2024-07-18T15:03:18.88" personId="{5C673E53-5491-4D87-9DAA-F37983F41F1E}" id="{D6D6AD82-C8D7-4255-BDF8-0086552C00FD}" parentId="{EB787927-D529-4A42-A768-203FC574FD8D}">
    <text>Id antigo: 2390P015448</text>
  </threadedComment>
  <threadedComment ref="G7" dT="2024-09-18T18:54:11.97" personId="{5C673E53-5491-4D87-9DAA-F37983F41F1E}" id="{EF230A74-FD14-4674-A31C-0E0ED2B1BB31}" done="1">
    <text xml:space="preserve">
Link antigo: https://youtu.be/SSTaJdLNTRY </text>
    <extLst>
      <x:ext xmlns:xltc2="http://schemas.microsoft.com/office/spreadsheetml/2020/threadedcomments2" uri="{F7C98A9C-CBB3-438F-8F68-D28B6AF4A901}">
        <xltc2:checksum>2902551981</xltc2:checksum>
        <xltc2:hyperlink startIndex="14" length="28" url="https://youtu.be/SSTaJdLNTRY"/>
      </x:ext>
    </extLst>
  </threadedComment>
  <threadedComment ref="G7" dT="2024-09-18T18:58:09.83" personId="{5C673E53-5491-4D87-9DAA-F37983F41F1E}" id="{9671BC33-890E-4A61-9FBA-D63CD24E0560}" parentId="{EF230A74-FD14-4674-A31C-0E0ED2B1BB31}">
    <text>@Wesley de Souza Lima este link precisou ser trocado</text>
    <mentions>
      <mention mentionpersonId="{FAFAC3B1-BCB2-4CCD-8399-1061921B262D}" mentionId="{8AF9249D-72A9-48B2-BB5B-2D12EB2D4CEE}" startIndex="0" length="21"/>
    </mentions>
  </threadedComment>
  <threadedComment ref="K9" dT="2024-08-07T16:55:58.24" personId="{5C673E53-5491-4D87-9DAA-F37983F41F1E}" id="{701BACDC-48F5-45AB-A805-0DCDE7C52C7E}">
    <text>2390E006222</text>
  </threadedComment>
</ThreadedComments>
</file>

<file path=xl/threadedComments/threadedComment7.xml><?xml version="1.0" encoding="utf-8"?>
<ThreadedComments xmlns="http://schemas.microsoft.com/office/spreadsheetml/2018/threadedcomments" xmlns:x="http://schemas.openxmlformats.org/spreadsheetml/2006/main">
  <threadedComment ref="J2" dT="2024-07-19T15:01:38.55" personId="{5C673E53-5491-4D87-9DAA-F37983F41F1E}" id="{80D4FD1B-2DBA-4078-B519-6BED455CE7CB}">
    <text>ID antigo: 3164P000002</text>
  </threadedComment>
  <threadedComment ref="J2" dT="2024-08-16T21:03:05.42" personId="{5C673E53-5491-4D87-9DAA-F37983F41F1E}" id="{6E870FD8-B78D-4170-9DDE-448077E905AB}" parentId="{80D4FD1B-2DBA-4078-B519-6BED455CE7CB}">
    <text>Id antigo: 3164P000091</text>
  </threadedComment>
  <threadedComment ref="K2" dT="2024-08-16T21:02:19.14" personId="{5C673E53-5491-4D87-9DAA-F37983F41F1E}" id="{CE6FE14B-9169-46B8-9661-A39D4433A141}">
    <text>Link antigo: https://youtu.be/dGltHCJ4wv8</text>
    <extLst>
      <x:ext xmlns:xltc2="http://schemas.microsoft.com/office/spreadsheetml/2020/threadedcomments2" uri="{F7C98A9C-CBB3-438F-8F68-D28B6AF4A901}">
        <xltc2:checksum>815999432</xltc2:checksum>
        <xltc2:hyperlink startIndex="13" length="28" url="https://youtu.be/dGltHCJ4wv8"/>
      </x:ext>
    </extLst>
  </threadedComment>
  <threadedComment ref="K3" dT="2024-08-16T21:02:19.14" personId="{5C673E53-5491-4D87-9DAA-F37983F41F1E}" id="{2AC35994-1D64-4763-BB33-D69FFC8878B8}">
    <text>Link antigo: https://youtu.be/dGltHCJ4wv8</text>
    <extLst>
      <x:ext xmlns:xltc2="http://schemas.microsoft.com/office/spreadsheetml/2020/threadedcomments2" uri="{F7C98A9C-CBB3-438F-8F68-D28B6AF4A901}">
        <xltc2:checksum>815999432</xltc2:checksum>
        <xltc2:hyperlink startIndex="13" length="28" url="https://youtu.be/dGltHCJ4wv8"/>
      </x:ext>
    </extLst>
  </threadedComment>
  <threadedComment ref="N3" dT="2024-10-02T13:07:23.88" personId="{5C673E53-5491-4D87-9DAA-F37983F41F1E}" id="{0435728C-4B2E-4236-A432-270A2740033C}">
    <text>https://youtu.be/5qN2X0HzRJI</text>
    <extLst>
      <x:ext xmlns:xltc2="http://schemas.microsoft.com/office/spreadsheetml/2020/threadedcomments2" uri="{F7C98A9C-CBB3-438F-8F68-D28B6AF4A901}">
        <xltc2:checksum>2376581963</xltc2:checksum>
        <xltc2:hyperlink startIndex="0" length="28" url="https://youtu.be/5qN2X0HzRJI"/>
      </x:ext>
    </extLst>
  </threadedComment>
  <threadedComment ref="J4" dT="2024-07-19T15:02:35.15" personId="{5C673E53-5491-4D87-9DAA-F37983F41F1E}" id="{1C71451D-9A61-4231-B49E-BAA5E411AD02}">
    <text>ID antigo: 3164P000006</text>
  </threadedComment>
  <threadedComment ref="K4" dT="2024-08-16T21:05:54.27" personId="{5C673E53-5491-4D87-9DAA-F37983F41F1E}" id="{21AB796A-3A7B-409E-A733-789D2BE01434}">
    <text>Link antigo: https://youtu.be/ql7KEEhAjnI</text>
    <extLst>
      <x:ext xmlns:xltc2="http://schemas.microsoft.com/office/spreadsheetml/2020/threadedcomments2" uri="{F7C98A9C-CBB3-438F-8F68-D28B6AF4A901}">
        <xltc2:checksum>3168411246</xltc2:checksum>
        <xltc2:hyperlink startIndex="13" length="28" url="https://youtu.be/ql7KEEhAjnI"/>
      </x:ext>
    </extLst>
  </threadedComment>
  <threadedComment ref="J5" dT="2024-07-19T15:02:48.77" personId="{5C673E53-5491-4D87-9DAA-F37983F41F1E}" id="{671FDBBE-EECF-4FC5-9AA3-7A67A160AFDA}">
    <text>ID antigo: 3164P000008</text>
  </threadedComment>
  <threadedComment ref="J6" dT="2024-07-19T15:03:07.65" personId="{5C673E53-5491-4D87-9DAA-F37983F41F1E}" id="{8684FA80-2F45-4574-A7C7-D6A825E6AD68}">
    <text>ID antigo: 3164P000010</text>
  </threadedComment>
  <threadedComment ref="K6" dT="2024-08-16T21:11:33.68" personId="{5C673E53-5491-4D87-9DAA-F37983F41F1E}" id="{8CFCE684-6526-4399-BBB5-23EF98D171E6}">
    <text>Link antigo: https://youtu.be/rQwC5G2Y7Bg</text>
    <extLst>
      <x:ext xmlns:xltc2="http://schemas.microsoft.com/office/spreadsheetml/2020/threadedcomments2" uri="{F7C98A9C-CBB3-438F-8F68-D28B6AF4A901}">
        <xltc2:checksum>3942675579</xltc2:checksum>
        <xltc2:hyperlink startIndex="13" length="28" url="https://youtu.be/rQwC5G2Y7Bg"/>
      </x:ext>
    </extLst>
  </threadedComment>
  <threadedComment ref="J7" dT="2024-07-19T15:03:17.01" personId="{5C673E53-5491-4D87-9DAA-F37983F41F1E}" id="{25FA91F9-C1A1-41E2-A9A3-00C99725C0F8}">
    <text>ID antigo: 3164P000012</text>
  </threadedComment>
  <threadedComment ref="K7" dT="2024-08-16T21:12:00.69" personId="{5C673E53-5491-4D87-9DAA-F37983F41F1E}" id="{7ACEE498-395B-4DB3-9907-9F565534E4A6}">
    <text>Link antigo: https://youtu.be/h8Qyte93YOc</text>
    <extLst>
      <x:ext xmlns:xltc2="http://schemas.microsoft.com/office/spreadsheetml/2020/threadedcomments2" uri="{F7C98A9C-CBB3-438F-8F68-D28B6AF4A901}">
        <xltc2:checksum>3292386727</xltc2:checksum>
        <xltc2:hyperlink startIndex="13" length="28" url="https://youtu.be/h8Qyte93YOc"/>
      </x:ext>
    </extLst>
  </threadedComment>
  <threadedComment ref="N9" dT="2024-09-27T14:08:13.89" personId="{5C673E53-5491-4D87-9DAA-F37983F41F1E}" id="{7862821B-008A-4CF9-BF03-576382B32761}">
    <text>https://youtu.be/7EvY87WOLfc</text>
    <extLst>
      <x:ext xmlns:xltc2="http://schemas.microsoft.com/office/spreadsheetml/2020/threadedcomments2" uri="{F7C98A9C-CBB3-438F-8F68-D28B6AF4A901}">
        <xltc2:checksum>169070512</xltc2:checksum>
        <xltc2:hyperlink startIndex="0" length="28" url="https://youtu.be/7EvY87WOLfc"/>
      </x:ext>
    </extLst>
  </threadedComment>
  <threadedComment ref="K10" dT="2024-08-16T21:12:56.58" personId="{5C673E53-5491-4D87-9DAA-F37983F41F1E}" id="{088EB960-BD04-4C79-8AB0-4769CE23D63B}">
    <text>Link antigo: https://youtu.be/JEs820eGySg</text>
    <extLst>
      <x:ext xmlns:xltc2="http://schemas.microsoft.com/office/spreadsheetml/2020/threadedcomments2" uri="{F7C98A9C-CBB3-438F-8F68-D28B6AF4A901}">
        <xltc2:checksum>944346610</xltc2:checksum>
        <xltc2:hyperlink startIndex="13" length="28" url="https://youtu.be/JEs820eGySg"/>
      </x:ext>
    </extLst>
  </threadedComment>
  <threadedComment ref="N10" dT="2024-09-27T14:08:13.89" personId="{5C673E53-5491-4D87-9DAA-F37983F41F1E}" id="{FAD17F16-D04A-4ECD-8E2F-F061344652E8}">
    <text>https://youtu.be/7EvY87WOLfc</text>
    <extLst>
      <x:ext xmlns:xltc2="http://schemas.microsoft.com/office/spreadsheetml/2020/threadedcomments2" uri="{F7C98A9C-CBB3-438F-8F68-D28B6AF4A901}">
        <xltc2:checksum>169070512</xltc2:checksum>
        <xltc2:hyperlink startIndex="0" length="28" url="https://youtu.be/7EvY87WOLfc"/>
      </x:ext>
    </extLst>
  </threadedComment>
  <threadedComment ref="J11" dT="2024-06-11T19:02:06.97" personId="{68206565-0EBE-402D-9F1D-64A9D110BADE}" id="{2E5C2430-C372-4B93-9D0F-4E27759DB2B0}">
    <text>Id pronto já com LIBRAS.</text>
  </threadedComment>
  <threadedComment ref="K12" dT="2024-08-16T21:13:48.77" personId="{5C673E53-5491-4D87-9DAA-F37983F41F1E}" id="{7C434BFF-5DD2-48F3-AD5C-D31BE147B948}">
    <text>Link antigo: https://youtu.be/ZmchvfBc3nE</text>
    <extLst>
      <x:ext xmlns:xltc2="http://schemas.microsoft.com/office/spreadsheetml/2020/threadedcomments2" uri="{F7C98A9C-CBB3-438F-8F68-D28B6AF4A901}">
        <xltc2:checksum>2238648038</xltc2:checksum>
        <xltc2:hyperlink startIndex="13" length="28" url="https://youtu.be/ZmchvfBc3nE"/>
      </x:ext>
    </extLst>
  </threadedComment>
  <threadedComment ref="N12" dT="2024-09-27T14:08:13.89" personId="{5C673E53-5491-4D87-9DAA-F37983F41F1E}" id="{04C59B59-FDD9-4A55-8AA6-DF76698ED36A}">
    <text>https://youtu.be/7EvY87WOLfc</text>
    <extLst>
      <x:ext xmlns:xltc2="http://schemas.microsoft.com/office/spreadsheetml/2020/threadedcomments2" uri="{F7C98A9C-CBB3-438F-8F68-D28B6AF4A901}">
        <xltc2:checksum>169070512</xltc2:checksum>
        <xltc2:hyperlink startIndex="0" length="28" url="https://youtu.be/7EvY87WOLfc"/>
      </x:ext>
    </extLst>
  </threadedComment>
  <threadedComment ref="K13" dT="2024-09-19T17:11:38.54" personId="{5C673E53-5491-4D87-9DAA-F37983F41F1E}" id="{27AA67A5-771F-4D29-96ED-E88D64A9518B}">
    <text>Link antigo: https://youtu.be/u3sntETrLQw</text>
    <extLst>
      <x:ext xmlns:xltc2="http://schemas.microsoft.com/office/spreadsheetml/2020/threadedcomments2" uri="{F7C98A9C-CBB3-438F-8F68-D28B6AF4A901}">
        <xltc2:checksum>987479918</xltc2:checksum>
        <xltc2:hyperlink startIndex="13" length="28" url="https://youtu.be/u3sntETrLQw"/>
      </x:ext>
    </extLst>
  </threadedComment>
  <threadedComment ref="N13" dT="2024-09-20T17:21:27.01" personId="{5C673E53-5491-4D87-9DAA-F37983F41F1E}" id="{A37EA747-ADA2-413E-B076-777470D01C2D}">
    <text>https://youtu.be/mYdS4GXqASY</text>
    <extLst>
      <x:ext xmlns:xltc2="http://schemas.microsoft.com/office/spreadsheetml/2020/threadedcomments2" uri="{F7C98A9C-CBB3-438F-8F68-D28B6AF4A901}">
        <xltc2:checksum>835625937</xltc2:checksum>
        <xltc2:hyperlink startIndex="0" length="28" url="https://youtu.be/mYdS4GXqASY"/>
      </x:ext>
    </extLst>
  </threadedComment>
  <threadedComment ref="K15" dT="2024-08-16T21:15:15.27" personId="{5C673E53-5491-4D87-9DAA-F37983F41F1E}" id="{EF6C5DBE-2CCB-4B50-92F2-C77D7C563BD9}">
    <text>Link antigo: https://youtu.be/l3hq8xqkFr0</text>
    <extLst>
      <x:ext xmlns:xltc2="http://schemas.microsoft.com/office/spreadsheetml/2020/threadedcomments2" uri="{F7C98A9C-CBB3-438F-8F68-D28B6AF4A901}">
        <xltc2:checksum>3406584293</xltc2:checksum>
        <xltc2:hyperlink startIndex="13" length="28" url="https://youtu.be/l3hq8xqkFr0"/>
      </x:ext>
    </extLst>
  </threadedComment>
  <threadedComment ref="N15" dT="2024-09-27T14:08:13.89" personId="{5C673E53-5491-4D87-9DAA-F37983F41F1E}" id="{043F941C-72C7-4C98-AC4D-645B446586D0}">
    <text>https://youtu.be/7EvY87WOLfc</text>
    <extLst>
      <x:ext xmlns:xltc2="http://schemas.microsoft.com/office/spreadsheetml/2020/threadedcomments2" uri="{F7C98A9C-CBB3-438F-8F68-D28B6AF4A901}">
        <xltc2:checksum>169070512</xltc2:checksum>
        <xltc2:hyperlink startIndex="0" length="28" url="https://youtu.be/7EvY87WOLfc"/>
      </x:ext>
    </extLst>
  </threadedComment>
  <threadedComment ref="K17" dT="2024-08-16T21:15:55.58" personId="{5C673E53-5491-4D87-9DAA-F37983F41F1E}" id="{0C637D18-8EBA-40CA-BD43-43E7898CC086}">
    <text>Link antigo: https://youtu.be/hBYbnCA6tyE</text>
    <extLst>
      <x:ext xmlns:xltc2="http://schemas.microsoft.com/office/spreadsheetml/2020/threadedcomments2" uri="{F7C98A9C-CBB3-438F-8F68-D28B6AF4A901}">
        <xltc2:checksum>1662324743</xltc2:checksum>
        <xltc2:hyperlink startIndex="13" length="28" url="https://youtu.be/hBYbnCA6tyE"/>
      </x:ext>
    </extLst>
  </threadedComment>
  <threadedComment ref="N17" dT="2024-09-27T14:08:13.89" personId="{5C673E53-5491-4D87-9DAA-F37983F41F1E}" id="{0B53590E-9819-4696-A288-40A7FE9B44EF}">
    <text>https://youtu.be/7EvY87WOLfc</text>
    <extLst>
      <x:ext xmlns:xltc2="http://schemas.microsoft.com/office/spreadsheetml/2020/threadedcomments2" uri="{F7C98A9C-CBB3-438F-8F68-D28B6AF4A901}">
        <xltc2:checksum>169070512</xltc2:checksum>
        <xltc2:hyperlink startIndex="0" length="28" url="https://youtu.be/7EvY87WOLfc"/>
      </x:ext>
    </extLst>
  </threadedComment>
  <threadedComment ref="K18" dT="2024-08-16T21:16:22.73" personId="{5C673E53-5491-4D87-9DAA-F37983F41F1E}" id="{F3F5B9DD-4705-4D8A-A615-AE66161A9B70}">
    <text>Link antigo: https://youtu.be/podLZBf5mSg</text>
    <extLst>
      <x:ext xmlns:xltc2="http://schemas.microsoft.com/office/spreadsheetml/2020/threadedcomments2" uri="{F7C98A9C-CBB3-438F-8F68-D28B6AF4A901}">
        <xltc2:checksum>2388473197</xltc2:checksum>
        <xltc2:hyperlink startIndex="13" length="28" url="https://youtu.be/podLZBf5mSg"/>
      </x:ext>
    </extLst>
  </threadedComment>
  <threadedComment ref="K18" dT="2024-09-19T16:47:21.63" personId="{5C673E53-5491-4D87-9DAA-F37983F41F1E}" id="{DAB768DA-558A-474F-BCF9-726A94B1634E}" parentId="{F3F5B9DD-4705-4D8A-A615-AE66161A9B70}">
    <text>https://youtu.be/FW9hsIuz06c</text>
    <extLst>
      <x:ext xmlns:xltc2="http://schemas.microsoft.com/office/spreadsheetml/2020/threadedcomments2" uri="{F7C98A9C-CBB3-438F-8F68-D28B6AF4A901}">
        <xltc2:checksum>3270111463</xltc2:checksum>
        <xltc2:hyperlink startIndex="0" length="28" url="https://youtu.be/FW9hsIuz06c"/>
      </x:ext>
    </extLst>
  </threadedComment>
  <threadedComment ref="N18" dT="2024-10-02T13:06:10.19" personId="{5C673E53-5491-4D87-9DAA-F37983F41F1E}" id="{B05A7426-4912-4F74-B121-16CDBBAB381F}">
    <text>https://youtu.be/GDjMGs39PHc</text>
    <extLst>
      <x:ext xmlns:xltc2="http://schemas.microsoft.com/office/spreadsheetml/2020/threadedcomments2" uri="{F7C98A9C-CBB3-438F-8F68-D28B6AF4A901}">
        <xltc2:checksum>1627250623</xltc2:checksum>
        <xltc2:hyperlink startIndex="0" length="28" url="https://youtu.be/GDjMGs39PHc"/>
      </x:ext>
    </extLst>
  </threadedComment>
  <threadedComment ref="K19" dT="2024-08-16T21:16:45.73" personId="{5C673E53-5491-4D87-9DAA-F37983F41F1E}" id="{4C5DFDEE-3C6F-4000-81D3-03F9F416013A}">
    <text>Link antigo: https://youtu.be/6DZjPnT64tw</text>
    <extLst>
      <x:ext xmlns:xltc2="http://schemas.microsoft.com/office/spreadsheetml/2020/threadedcomments2" uri="{F7C98A9C-CBB3-438F-8F68-D28B6AF4A901}">
        <xltc2:checksum>1939623243</xltc2:checksum>
        <xltc2:hyperlink startIndex="13" length="28" url="https://youtu.be/6DZjPnT64tw"/>
      </x:ext>
    </extLst>
  </threadedComment>
  <threadedComment ref="K21" dT="2024-08-16T21:17:49.18" personId="{5C673E53-5491-4D87-9DAA-F37983F41F1E}" id="{01C3A0B1-1ACA-4331-8F4E-AEB358152DBF}">
    <text>https://youtu.be/EuDpncNdV-4</text>
    <extLst>
      <x:ext xmlns:xltc2="http://schemas.microsoft.com/office/spreadsheetml/2020/threadedcomments2" uri="{F7C98A9C-CBB3-438F-8F68-D28B6AF4A901}">
        <xltc2:checksum>461610570</xltc2:checksum>
        <xltc2:hyperlink startIndex="0" length="28" url="https://youtu.be/EuDpncNdV-4"/>
      </x:ext>
    </extLst>
  </threadedComment>
  <threadedComment ref="N21" dT="2024-09-27T14:03:33.21" personId="{5C673E53-5491-4D87-9DAA-F37983F41F1E}" id="{8437E3F6-B90E-47BB-9B1F-3451004F5432}">
    <text>https://youtu.be/oMexK7dPEIc</text>
    <extLst>
      <x:ext xmlns:xltc2="http://schemas.microsoft.com/office/spreadsheetml/2020/threadedcomments2" uri="{F7C98A9C-CBB3-438F-8F68-D28B6AF4A901}">
        <xltc2:checksum>1652476071</xltc2:checksum>
        <xltc2:hyperlink startIndex="0" length="28" url="https://youtu.be/oMexK7dPEIc"/>
      </x:ext>
    </extLst>
  </threadedComment>
  <threadedComment ref="K22" dT="2024-08-16T21:18:04.12" personId="{5C673E53-5491-4D87-9DAA-F37983F41F1E}" id="{FFBDD697-46BB-4EDC-8AB3-C9EB3208A625}">
    <text>https://youtu.be/q7tZIrESnjQ</text>
    <extLst>
      <x:ext xmlns:xltc2="http://schemas.microsoft.com/office/spreadsheetml/2020/threadedcomments2" uri="{F7C98A9C-CBB3-438F-8F68-D28B6AF4A901}">
        <xltc2:checksum>2267502612</xltc2:checksum>
        <xltc2:hyperlink startIndex="0" length="28" url="https://youtu.be/q7tZIrESnjQ"/>
      </x:ext>
    </extLst>
  </threadedComment>
  <threadedComment ref="N22" dT="2024-09-27T14:03:45.87" personId="{5C673E53-5491-4D87-9DAA-F37983F41F1E}" id="{6F5F7F86-EC0B-4920-A990-E3305F40B408}">
    <text>https://youtu.be/5TpyQkMmwjM</text>
    <extLst>
      <x:ext xmlns:xltc2="http://schemas.microsoft.com/office/spreadsheetml/2020/threadedcomments2" uri="{F7C98A9C-CBB3-438F-8F68-D28B6AF4A901}">
        <xltc2:checksum>2184406880</xltc2:checksum>
        <xltc2:hyperlink startIndex="0" length="28" url="https://youtu.be/5TpyQkMmwjM"/>
      </x:ext>
    </extLst>
  </threadedComment>
  <threadedComment ref="K23" dT="2024-08-16T21:18:15.73" personId="{5C673E53-5491-4D87-9DAA-F37983F41F1E}" id="{F58326E6-2C47-4309-890E-3220A509586E}">
    <text>https://youtu.be/n_SEMNtSh6s</text>
    <extLst>
      <x:ext xmlns:xltc2="http://schemas.microsoft.com/office/spreadsheetml/2020/threadedcomments2" uri="{F7C98A9C-CBB3-438F-8F68-D28B6AF4A901}">
        <xltc2:checksum>969692458</xltc2:checksum>
        <xltc2:hyperlink startIndex="0" length="28" url="https://youtu.be/n_SEMNtSh6s"/>
      </x:ext>
    </extLst>
  </threadedComment>
  <threadedComment ref="N23" dT="2024-09-27T14:03:53.80" personId="{5C673E53-5491-4D87-9DAA-F37983F41F1E}" id="{2F258AAA-BEA1-412C-91FE-BF108E6F2947}">
    <text>https://youtu.be/y1t8WvJbx7s</text>
    <extLst>
      <x:ext xmlns:xltc2="http://schemas.microsoft.com/office/spreadsheetml/2020/threadedcomments2" uri="{F7C98A9C-CBB3-438F-8F68-D28B6AF4A901}">
        <xltc2:checksum>3420166338</xltc2:checksum>
        <xltc2:hyperlink startIndex="0" length="28" url="https://youtu.be/y1t8WvJbx7s"/>
      </x:ext>
    </extLst>
  </threadedComment>
  <threadedComment ref="N24" dT="2024-09-27T14:04:04.79" personId="{5C673E53-5491-4D87-9DAA-F37983F41F1E}" id="{B5DB19DA-5667-4399-A33A-C4C71883767B}">
    <text>https://youtu.be/dPc_zy8dWQA</text>
    <extLst>
      <x:ext xmlns:xltc2="http://schemas.microsoft.com/office/spreadsheetml/2020/threadedcomments2" uri="{F7C98A9C-CBB3-438F-8F68-D28B6AF4A901}">
        <xltc2:checksum>1885358378</xltc2:checksum>
        <xltc2:hyperlink startIndex="0" length="28" url="https://youtu.be/dPc_zy8dWQA"/>
      </x:ext>
    </extLst>
  </threadedComment>
  <threadedComment ref="K25" dT="2024-08-16T21:18:43.45" personId="{5C673E53-5491-4D87-9DAA-F37983F41F1E}" id="{AF8354BE-A3A3-4830-BE41-37628C0C2EAD}">
    <text>https://youtu.be/GWJAhA_UCmQ</text>
    <extLst>
      <x:ext xmlns:xltc2="http://schemas.microsoft.com/office/spreadsheetml/2020/threadedcomments2" uri="{F7C98A9C-CBB3-438F-8F68-D28B6AF4A901}">
        <xltc2:checksum>3322621525</xltc2:checksum>
        <xltc2:hyperlink startIndex="0" length="28" url="https://youtu.be/GWJAhA_UCmQ"/>
      </x:ext>
    </extLst>
  </threadedComment>
  <threadedComment ref="N25" dT="2024-09-27T14:04:19.12" personId="{5C673E53-5491-4D87-9DAA-F37983F41F1E}" id="{938E98A1-29A9-4891-9A35-A8A23B57CEC6}">
    <text>https://youtu.be/HFpxUbI2Nbs</text>
    <extLst>
      <x:ext xmlns:xltc2="http://schemas.microsoft.com/office/spreadsheetml/2020/threadedcomments2" uri="{F7C98A9C-CBB3-438F-8F68-D28B6AF4A901}">
        <xltc2:checksum>623386230</xltc2:checksum>
        <xltc2:hyperlink startIndex="0" length="28" url="https://youtu.be/HFpxUbI2Nbs"/>
      </x:ext>
    </extLst>
  </threadedComment>
  <threadedComment ref="K26" dT="2024-08-16T21:18:56.92" personId="{5C673E53-5491-4D87-9DAA-F37983F41F1E}" id="{E2AA615B-83DD-42DD-9393-38B51EA9AEDA}">
    <text>https://youtu.be/KpwsToIpUII</text>
    <extLst>
      <x:ext xmlns:xltc2="http://schemas.microsoft.com/office/spreadsheetml/2020/threadedcomments2" uri="{F7C98A9C-CBB3-438F-8F68-D28B6AF4A901}">
        <xltc2:checksum>2362554300</xltc2:checksum>
        <xltc2:hyperlink startIndex="0" length="28" url="https://youtu.be/KpwsToIpUII"/>
      </x:ext>
    </extLst>
  </threadedComment>
  <threadedComment ref="N26" dT="2024-09-27T14:04:30.79" personId="{5C673E53-5491-4D87-9DAA-F37983F41F1E}" id="{D50E9B2A-5743-4824-87D1-F5FB052E1821}">
    <text>https://youtu.be/jrwAJEycyBQ</text>
    <extLst>
      <x:ext xmlns:xltc2="http://schemas.microsoft.com/office/spreadsheetml/2020/threadedcomments2" uri="{F7C98A9C-CBB3-438F-8F68-D28B6AF4A901}">
        <xltc2:checksum>2901843411</xltc2:checksum>
        <xltc2:hyperlink startIndex="0" length="28" url="https://youtu.be/jrwAJEycyBQ"/>
      </x:ext>
    </extLst>
  </threadedComment>
  <threadedComment ref="K27" dT="2024-10-02T17:22:06.43" personId="{5C673E53-5491-4D87-9DAA-F37983F41F1E}" id="{29ED00DC-7DFE-472A-951F-63CF1A7B7938}">
    <text>https://youtu.be/GF1zGX9Y34s</text>
    <extLst>
      <x:ext xmlns:xltc2="http://schemas.microsoft.com/office/spreadsheetml/2020/threadedcomments2" uri="{F7C98A9C-CBB3-438F-8F68-D28B6AF4A901}">
        <xltc2:checksum>3628445274</xltc2:checksum>
        <xltc2:hyperlink startIndex="0" length="28" url="https://youtu.be/GF1zGX9Y34s"/>
      </x:ext>
    </extLst>
  </threadedComment>
  <threadedComment ref="N27" dT="2024-09-27T14:08:13.89" personId="{5C673E53-5491-4D87-9DAA-F37983F41F1E}" id="{A2CE5364-663F-4A19-81BA-96D8D00E247F}">
    <text>https://youtu.be/7EvY87WOLfc</text>
    <extLst>
      <x:ext xmlns:xltc2="http://schemas.microsoft.com/office/spreadsheetml/2020/threadedcomments2" uri="{F7C98A9C-CBB3-438F-8F68-D28B6AF4A901}">
        <xltc2:checksum>169070512</xltc2:checksum>
        <xltc2:hyperlink startIndex="0" length="28" url="https://youtu.be/7EvY87WOLfc"/>
      </x:ext>
    </extLst>
  </threadedComment>
  <threadedComment ref="K28" dT="2024-10-02T17:25:27.76" personId="{5C673E53-5491-4D87-9DAA-F37983F41F1E}" id="{7B75CF1A-8EC8-4A5E-A491-D6542687F192}">
    <text>https://youtu.be/CMt8pI734aQ</text>
    <extLst>
      <x:ext xmlns:xltc2="http://schemas.microsoft.com/office/spreadsheetml/2020/threadedcomments2" uri="{F7C98A9C-CBB3-438F-8F68-D28B6AF4A901}">
        <xltc2:checksum>100715662</xltc2:checksum>
        <xltc2:hyperlink startIndex="0" length="28" url="https://youtu.be/CMt8pI734aQ"/>
      </x:ext>
    </extLst>
  </threadedComment>
  <threadedComment ref="N28" dT="2024-09-26T18:39:06.47" personId="{5C673E53-5491-4D87-9DAA-F37983F41F1E}" id="{EA65C74A-DD18-4B0D-8042-14E2C07AC2F2}">
    <text>https://youtu.be/fIbQ61rWTtw</text>
    <extLst>
      <x:ext xmlns:xltc2="http://schemas.microsoft.com/office/spreadsheetml/2020/threadedcomments2" uri="{F7C98A9C-CBB3-438F-8F68-D28B6AF4A901}">
        <xltc2:checksum>101079910</xltc2:checksum>
        <xltc2:hyperlink startIndex="0" length="28" url="https://youtu.be/fIbQ61rWTtw"/>
      </x:ext>
    </extLst>
  </threadedComment>
  <threadedComment ref="N30" dT="2024-09-10T15:07:07.98" personId="{5C673E53-5491-4D87-9DAA-F37983F41F1E}" id="{4E1DE614-DC0C-4F22-965B-5649E665C32F}">
    <text xml:space="preserve">antigo: https://youtu.be/naLrE-wnvc0
</text>
    <extLst>
      <x:ext xmlns:xltc2="http://schemas.microsoft.com/office/spreadsheetml/2020/threadedcomments2" uri="{F7C98A9C-CBB3-438F-8F68-D28B6AF4A901}">
        <xltc2:checksum>782231441</xltc2:checksum>
        <xltc2:hyperlink startIndex="8" length="28" url="https://youtu.be/naLrE-wnvc0"/>
      </x:ext>
    </extLst>
  </threadedComment>
  <threadedComment ref="K32" dT="2024-10-03T17:45:37.98" personId="{5C673E53-5491-4D87-9DAA-F37983F41F1E}" id="{ACEBA7C4-5626-4201-B898-D1FA95921082}">
    <text>https://youtu.be/a7hEV3vIuBw</text>
    <extLst>
      <x:ext xmlns:xltc2="http://schemas.microsoft.com/office/spreadsheetml/2020/threadedcomments2" uri="{F7C98A9C-CBB3-438F-8F68-D28B6AF4A901}">
        <xltc2:checksum>1558390182</xltc2:checksum>
        <xltc2:hyperlink startIndex="0" length="28" url="https://youtu.be/a7hEV3vIuBw"/>
      </x:ext>
    </extLst>
  </threadedComment>
  <threadedComment ref="N32" dT="2024-09-27T14:05:19.90" personId="{5C673E53-5491-4D87-9DAA-F37983F41F1E}" id="{AC26BB07-31ED-4A1F-AB7B-BE2E86F4DA5E}">
    <text>https://youtu.be/o1areyqNNJU</text>
    <extLst>
      <x:ext xmlns:xltc2="http://schemas.microsoft.com/office/spreadsheetml/2020/threadedcomments2" uri="{F7C98A9C-CBB3-438F-8F68-D28B6AF4A901}">
        <xltc2:checksum>1421087979</xltc2:checksum>
        <xltc2:hyperlink startIndex="0" length="28" url="https://youtu.be/o1areyqNNJU"/>
      </x:ext>
    </extLs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s://youtu.be/DK3TRvAIG2o" TargetMode="External"/><Relationship Id="rId21" Type="http://schemas.openxmlformats.org/officeDocument/2006/relationships/hyperlink" Target="https://youtu.be/tfnsNfc6JA4" TargetMode="External"/><Relationship Id="rId42" Type="http://schemas.openxmlformats.org/officeDocument/2006/relationships/hyperlink" Target="https://youtu.be/VIyr-n-YuuM" TargetMode="External"/><Relationship Id="rId47" Type="http://schemas.openxmlformats.org/officeDocument/2006/relationships/hyperlink" Target="https://drive.google.com/drive/folders/1mMH1J-tzAcIxdEeqz1lEPgE9mADm5Yne?usp=drive_link" TargetMode="External"/><Relationship Id="rId63" Type="http://schemas.openxmlformats.org/officeDocument/2006/relationships/hyperlink" Target="https://youtu.be/IdKEVuYDxn4" TargetMode="External"/><Relationship Id="rId68" Type="http://schemas.openxmlformats.org/officeDocument/2006/relationships/hyperlink" Target="https://youtu.be/eM32H79aigQ" TargetMode="External"/><Relationship Id="rId84" Type="http://schemas.openxmlformats.org/officeDocument/2006/relationships/hyperlink" Target="https://youtu.be/PrZ0K2xnUKk" TargetMode="External"/><Relationship Id="rId89" Type="http://schemas.openxmlformats.org/officeDocument/2006/relationships/hyperlink" Target="https://youtu.be/cU0ialCUYcg" TargetMode="External"/><Relationship Id="rId112" Type="http://schemas.openxmlformats.org/officeDocument/2006/relationships/hyperlink" Target="https://youtu.be/bb5cphNGQK8" TargetMode="External"/><Relationship Id="rId16" Type="http://schemas.openxmlformats.org/officeDocument/2006/relationships/hyperlink" Target="https://youtu.be/-2qVeLe47mg" TargetMode="External"/><Relationship Id="rId107" Type="http://schemas.openxmlformats.org/officeDocument/2006/relationships/hyperlink" Target="https://youtu.be/NexqKaLns8g" TargetMode="External"/><Relationship Id="rId11" Type="http://schemas.openxmlformats.org/officeDocument/2006/relationships/hyperlink" Target="https://youtu.be/UD4mOD6V0Ys" TargetMode="External"/><Relationship Id="rId32" Type="http://schemas.openxmlformats.org/officeDocument/2006/relationships/hyperlink" Target="https://youtu.be/82_8VaX8Yg8" TargetMode="External"/><Relationship Id="rId37" Type="http://schemas.openxmlformats.org/officeDocument/2006/relationships/hyperlink" Target="https://youtu.be/E05nl_5Z9Ls" TargetMode="External"/><Relationship Id="rId53" Type="http://schemas.openxmlformats.org/officeDocument/2006/relationships/hyperlink" Target="https://youtu.be/v3arSFbHjLI" TargetMode="External"/><Relationship Id="rId58" Type="http://schemas.openxmlformats.org/officeDocument/2006/relationships/hyperlink" Target="https://youtu.be/dAF356fZB8Y" TargetMode="External"/><Relationship Id="rId74" Type="http://schemas.openxmlformats.org/officeDocument/2006/relationships/hyperlink" Target="https://youtu.be/ZgkzCHi6nrc" TargetMode="External"/><Relationship Id="rId79" Type="http://schemas.openxmlformats.org/officeDocument/2006/relationships/hyperlink" Target="https://youtu.be/cMdulMVLSo0" TargetMode="External"/><Relationship Id="rId102" Type="http://schemas.openxmlformats.org/officeDocument/2006/relationships/hyperlink" Target="https://drive.google.com/drive/folders/1qLdJypp_SpRLj8az5QF8KOWKvcFl-bX_?usp=drive_link" TargetMode="External"/><Relationship Id="rId123" Type="http://schemas.openxmlformats.org/officeDocument/2006/relationships/hyperlink" Target="https://drive.google.com/drive/folders/1CZraY-luf4pqaHZYJxDpzrTF9iYG4qiY?usp=drive_link" TargetMode="External"/><Relationship Id="rId128" Type="http://schemas.openxmlformats.org/officeDocument/2006/relationships/vmlDrawing" Target="../drawings/vmlDrawing1.vml"/><Relationship Id="rId5" Type="http://schemas.openxmlformats.org/officeDocument/2006/relationships/hyperlink" Target="https://youtu.be/ZNFk0kUyd3w" TargetMode="External"/><Relationship Id="rId90" Type="http://schemas.openxmlformats.org/officeDocument/2006/relationships/hyperlink" Target="https://youtu.be/nKvxLQWAhXA" TargetMode="External"/><Relationship Id="rId95" Type="http://schemas.openxmlformats.org/officeDocument/2006/relationships/hyperlink" Target="https://youtu.be/tzFL16-Kqdw" TargetMode="External"/><Relationship Id="rId22" Type="http://schemas.openxmlformats.org/officeDocument/2006/relationships/hyperlink" Target="https://youtu.be/G0rCcaQw7ns" TargetMode="External"/><Relationship Id="rId27" Type="http://schemas.openxmlformats.org/officeDocument/2006/relationships/hyperlink" Target="https://youtu.be/ip7C-LPy2Kg" TargetMode="External"/><Relationship Id="rId43" Type="http://schemas.openxmlformats.org/officeDocument/2006/relationships/hyperlink" Target="https://youtu.be/54Ou0HYm2aw" TargetMode="External"/><Relationship Id="rId48" Type="http://schemas.openxmlformats.org/officeDocument/2006/relationships/hyperlink" Target="https://drive.google.com/drive/folders/1mMH1J-tzAcIxdEeqz1lEPgE9mADm5Yne?usp=drive_link" TargetMode="External"/><Relationship Id="rId64" Type="http://schemas.openxmlformats.org/officeDocument/2006/relationships/hyperlink" Target="https://youtu.be/GDfgJ67qXhE" TargetMode="External"/><Relationship Id="rId69" Type="http://schemas.openxmlformats.org/officeDocument/2006/relationships/hyperlink" Target="https://youtu.be/Xume9njgXU4" TargetMode="External"/><Relationship Id="rId113" Type="http://schemas.openxmlformats.org/officeDocument/2006/relationships/hyperlink" Target="https://youtu.be/GNXmTTVlkW4" TargetMode="External"/><Relationship Id="rId118" Type="http://schemas.openxmlformats.org/officeDocument/2006/relationships/hyperlink" Target="https://youtu.be/WIFGPc9tYRM" TargetMode="External"/><Relationship Id="rId80" Type="http://schemas.openxmlformats.org/officeDocument/2006/relationships/hyperlink" Target="https://youtu.be/a6HhKNNGR64" TargetMode="External"/><Relationship Id="rId85" Type="http://schemas.openxmlformats.org/officeDocument/2006/relationships/hyperlink" Target="https://youtu.be/W7dPKUOejaQ" TargetMode="External"/><Relationship Id="rId12" Type="http://schemas.openxmlformats.org/officeDocument/2006/relationships/hyperlink" Target="https://youtu.be/IH6uEr7bLcM" TargetMode="External"/><Relationship Id="rId17" Type="http://schemas.openxmlformats.org/officeDocument/2006/relationships/hyperlink" Target="https://youtu.be/xPDHyVqYjM8" TargetMode="External"/><Relationship Id="rId33" Type="http://schemas.openxmlformats.org/officeDocument/2006/relationships/hyperlink" Target="https://youtu.be/yDjtQVLFeZg" TargetMode="External"/><Relationship Id="rId38" Type="http://schemas.openxmlformats.org/officeDocument/2006/relationships/hyperlink" Target="https://youtu.be/sxbnUPycGTk" TargetMode="External"/><Relationship Id="rId59" Type="http://schemas.openxmlformats.org/officeDocument/2006/relationships/hyperlink" Target="https://drive.google.com/drive/folders/1YQ7GwHr83MroNDvzt1hBHyePdJWY0iIf?usp=drive_link" TargetMode="External"/><Relationship Id="rId103" Type="http://schemas.openxmlformats.org/officeDocument/2006/relationships/hyperlink" Target="https://youtu.be/NsXKKE1E9Tw" TargetMode="External"/><Relationship Id="rId108" Type="http://schemas.openxmlformats.org/officeDocument/2006/relationships/hyperlink" Target="https://youtu.be/aJPStO1yRCI" TargetMode="External"/><Relationship Id="rId124" Type="http://schemas.openxmlformats.org/officeDocument/2006/relationships/hyperlink" Target="https://drive.google.com/drive/folders/1CZraY-luf4pqaHZYJxDpzrTF9iYG4qiY?usp=drive_link" TargetMode="External"/><Relationship Id="rId129" Type="http://schemas.openxmlformats.org/officeDocument/2006/relationships/comments" Target="../comments1.xml"/><Relationship Id="rId54" Type="http://schemas.openxmlformats.org/officeDocument/2006/relationships/hyperlink" Target="https://youtu.be/exBooQA-9_k" TargetMode="External"/><Relationship Id="rId70" Type="http://schemas.openxmlformats.org/officeDocument/2006/relationships/hyperlink" Target="https://youtu.be/jKzNkLfjBXM" TargetMode="External"/><Relationship Id="rId75" Type="http://schemas.openxmlformats.org/officeDocument/2006/relationships/hyperlink" Target="https://youtu.be/GMGRBF5IWH8" TargetMode="External"/><Relationship Id="rId91" Type="http://schemas.openxmlformats.org/officeDocument/2006/relationships/hyperlink" Target="https://youtu.be/PwDHciLZqLg" TargetMode="External"/><Relationship Id="rId96" Type="http://schemas.openxmlformats.org/officeDocument/2006/relationships/hyperlink" Target="https://youtu.be/Xg_XgQXeGX8" TargetMode="External"/><Relationship Id="rId1" Type="http://schemas.openxmlformats.org/officeDocument/2006/relationships/hyperlink" Target="https://youtu.be/K9v1J8KY760" TargetMode="External"/><Relationship Id="rId6" Type="http://schemas.openxmlformats.org/officeDocument/2006/relationships/hyperlink" Target="https://youtu.be/aKfI06JSc0M" TargetMode="External"/><Relationship Id="rId23" Type="http://schemas.openxmlformats.org/officeDocument/2006/relationships/hyperlink" Target="https://youtu.be/Z3zhtX8FCxg" TargetMode="External"/><Relationship Id="rId28" Type="http://schemas.openxmlformats.org/officeDocument/2006/relationships/hyperlink" Target="https://youtu.be/zYYpFHj2GoM" TargetMode="External"/><Relationship Id="rId49" Type="http://schemas.openxmlformats.org/officeDocument/2006/relationships/hyperlink" Target="https://drive.google.com/drive/folders/1qLdJypp_SpRLj8az5QF8KOWKvcFl-bX_?usp=drive_link" TargetMode="External"/><Relationship Id="rId114" Type="http://schemas.openxmlformats.org/officeDocument/2006/relationships/hyperlink" Target="https://youtu.be/QRCoJvT7N_Y" TargetMode="External"/><Relationship Id="rId119" Type="http://schemas.openxmlformats.org/officeDocument/2006/relationships/hyperlink" Target="https://youtu.be/7bGuKtAIUO0" TargetMode="External"/><Relationship Id="rId44" Type="http://schemas.openxmlformats.org/officeDocument/2006/relationships/hyperlink" Target="https://youtu.be/9hYte8fBE8M" TargetMode="External"/><Relationship Id="rId60" Type="http://schemas.openxmlformats.org/officeDocument/2006/relationships/hyperlink" Target="https://drive.google.com/drive/folders/1CZraY-luf4pqaHZYJxDpzrTF9iYG4qiY?usp=drive_link" TargetMode="External"/><Relationship Id="rId65" Type="http://schemas.openxmlformats.org/officeDocument/2006/relationships/hyperlink" Target="https://youtu.be/_spz1II91Y4" TargetMode="External"/><Relationship Id="rId81" Type="http://schemas.openxmlformats.org/officeDocument/2006/relationships/hyperlink" Target="https://youtu.be/sGKlKdJGHfg" TargetMode="External"/><Relationship Id="rId86" Type="http://schemas.openxmlformats.org/officeDocument/2006/relationships/hyperlink" Target="https://youtu.be/ZoQKsuYTN7M" TargetMode="External"/><Relationship Id="rId130" Type="http://schemas.microsoft.com/office/2017/10/relationships/threadedComment" Target="../threadedComments/threadedComment1.xml"/><Relationship Id="rId13" Type="http://schemas.openxmlformats.org/officeDocument/2006/relationships/hyperlink" Target="https://youtu.be/zLkn7c7PZpE" TargetMode="External"/><Relationship Id="rId18" Type="http://schemas.openxmlformats.org/officeDocument/2006/relationships/hyperlink" Target="https://youtu.be/0E2oP7PNRsg" TargetMode="External"/><Relationship Id="rId39" Type="http://schemas.openxmlformats.org/officeDocument/2006/relationships/hyperlink" Target="https://youtu.be/uBDtWlEegZk" TargetMode="External"/><Relationship Id="rId109" Type="http://schemas.openxmlformats.org/officeDocument/2006/relationships/hyperlink" Target="https://youtu.be/wP6zl1ymASw" TargetMode="External"/><Relationship Id="rId34" Type="http://schemas.openxmlformats.org/officeDocument/2006/relationships/hyperlink" Target="https://youtu.be/z7ibXTdZ3hU" TargetMode="External"/><Relationship Id="rId50" Type="http://schemas.openxmlformats.org/officeDocument/2006/relationships/hyperlink" Target="https://youtu.be/wAqjZMY82zQ" TargetMode="External"/><Relationship Id="rId55" Type="http://schemas.openxmlformats.org/officeDocument/2006/relationships/hyperlink" Target="https://drive.google.com/drive/folders/1mVY7x-jdodkcTM0Nxt-AKOn3rCScy2y8?usp=drive_link" TargetMode="External"/><Relationship Id="rId76" Type="http://schemas.openxmlformats.org/officeDocument/2006/relationships/hyperlink" Target="https://youtu.be/jKm0CQ_wzxU" TargetMode="External"/><Relationship Id="rId97" Type="http://schemas.openxmlformats.org/officeDocument/2006/relationships/hyperlink" Target="https://youtu.be/BrLovMawC-0" TargetMode="External"/><Relationship Id="rId104" Type="http://schemas.openxmlformats.org/officeDocument/2006/relationships/hyperlink" Target="https://youtu.be/R0L4EG-hVd8" TargetMode="External"/><Relationship Id="rId120" Type="http://schemas.openxmlformats.org/officeDocument/2006/relationships/hyperlink" Target="https://youtu.be/nSWovJaxA84" TargetMode="External"/><Relationship Id="rId125" Type="http://schemas.openxmlformats.org/officeDocument/2006/relationships/hyperlink" Target="https://drive.google.com/drive/folders/1CZraY-luf4pqaHZYJxDpzrTF9iYG4qiY?usp=drive_link" TargetMode="External"/><Relationship Id="rId7" Type="http://schemas.openxmlformats.org/officeDocument/2006/relationships/hyperlink" Target="https://youtu.be/Ws3QP7nEfeI" TargetMode="External"/><Relationship Id="rId71" Type="http://schemas.openxmlformats.org/officeDocument/2006/relationships/hyperlink" Target="https://youtu.be/R6babxG24H8" TargetMode="External"/><Relationship Id="rId92" Type="http://schemas.openxmlformats.org/officeDocument/2006/relationships/hyperlink" Target="https://youtu.be/uum5GiavGB0" TargetMode="External"/><Relationship Id="rId2" Type="http://schemas.openxmlformats.org/officeDocument/2006/relationships/hyperlink" Target="https://youtu.be/8puMOD6z8sc" TargetMode="External"/><Relationship Id="rId29" Type="http://schemas.openxmlformats.org/officeDocument/2006/relationships/hyperlink" Target="https://youtu.be/OLxN515suhM" TargetMode="External"/><Relationship Id="rId24" Type="http://schemas.openxmlformats.org/officeDocument/2006/relationships/hyperlink" Target="https://youtu.be/D1Ov8IybffM" TargetMode="External"/><Relationship Id="rId40" Type="http://schemas.openxmlformats.org/officeDocument/2006/relationships/hyperlink" Target="https://youtu.be/L2JM0shM98A" TargetMode="External"/><Relationship Id="rId45" Type="http://schemas.openxmlformats.org/officeDocument/2006/relationships/hyperlink" Target="https://youtu.be/n-Had_bjEJ0" TargetMode="External"/><Relationship Id="rId66" Type="http://schemas.openxmlformats.org/officeDocument/2006/relationships/hyperlink" Target="https://youtu.be/ytYmO5rSwOk" TargetMode="External"/><Relationship Id="rId87" Type="http://schemas.openxmlformats.org/officeDocument/2006/relationships/hyperlink" Target="https://youtu.be/NLdTdHtvveQ" TargetMode="External"/><Relationship Id="rId110" Type="http://schemas.openxmlformats.org/officeDocument/2006/relationships/hyperlink" Target="https://youtu.be/Eg90mJ6A1oM" TargetMode="External"/><Relationship Id="rId115" Type="http://schemas.openxmlformats.org/officeDocument/2006/relationships/hyperlink" Target="https://youtu.be/GtVctIHOLDQ" TargetMode="External"/><Relationship Id="rId131" Type="http://schemas.microsoft.com/office/2019/04/relationships/documenttask" Target="../documenttasks/documenttask1.xml"/><Relationship Id="rId61" Type="http://schemas.openxmlformats.org/officeDocument/2006/relationships/hyperlink" Target="https://drive.google.com/drive/folders/1hBkhVRagVohJ6sVqbJzexGvE51C19j80?usp=sharing" TargetMode="External"/><Relationship Id="rId82" Type="http://schemas.openxmlformats.org/officeDocument/2006/relationships/hyperlink" Target="https://youtu.be/of9oL7zntG0" TargetMode="External"/><Relationship Id="rId19" Type="http://schemas.openxmlformats.org/officeDocument/2006/relationships/hyperlink" Target="https://youtu.be/b7pVctSbCeA" TargetMode="External"/><Relationship Id="rId14" Type="http://schemas.openxmlformats.org/officeDocument/2006/relationships/hyperlink" Target="https://youtu.be/I6L_3W8HDq8" TargetMode="External"/><Relationship Id="rId30" Type="http://schemas.openxmlformats.org/officeDocument/2006/relationships/hyperlink" Target="https://youtu.be/N0KZ_McZNF4" TargetMode="External"/><Relationship Id="rId35" Type="http://schemas.openxmlformats.org/officeDocument/2006/relationships/hyperlink" Target="https://youtu.be/Sa3iz5JFkAA" TargetMode="External"/><Relationship Id="rId56" Type="http://schemas.openxmlformats.org/officeDocument/2006/relationships/hyperlink" Target="https://drive.google.com/drive/folders/1mVY7x-jdodkcTM0Nxt-AKOn3rCScy2y8?usp=drive_link" TargetMode="External"/><Relationship Id="rId77" Type="http://schemas.openxmlformats.org/officeDocument/2006/relationships/hyperlink" Target="https://youtu.be/RVWsz8pCPp0" TargetMode="External"/><Relationship Id="rId100" Type="http://schemas.openxmlformats.org/officeDocument/2006/relationships/hyperlink" Target="https://drive.google.com/drive/folders/1qLdJypp_SpRLj8az5QF8KOWKvcFl-bX_?usp=drive_link" TargetMode="External"/><Relationship Id="rId105" Type="http://schemas.openxmlformats.org/officeDocument/2006/relationships/hyperlink" Target="https://youtu.be/MCT5AsOeJhQ" TargetMode="External"/><Relationship Id="rId126" Type="http://schemas.openxmlformats.org/officeDocument/2006/relationships/hyperlink" Target="https://youtu.be/K3K4r1CBrm8" TargetMode="External"/><Relationship Id="rId8" Type="http://schemas.openxmlformats.org/officeDocument/2006/relationships/hyperlink" Target="https://youtu.be/ohcPzmZ5gEI" TargetMode="External"/><Relationship Id="rId51" Type="http://schemas.openxmlformats.org/officeDocument/2006/relationships/hyperlink" Target="https://youtu.be/8CgErP60jdQ" TargetMode="External"/><Relationship Id="rId72" Type="http://schemas.openxmlformats.org/officeDocument/2006/relationships/hyperlink" Target="https://youtu.be/sKvhRsGFnGU" TargetMode="External"/><Relationship Id="rId93" Type="http://schemas.openxmlformats.org/officeDocument/2006/relationships/hyperlink" Target="https://youtu.be/-72Jch3RY-k" TargetMode="External"/><Relationship Id="rId98" Type="http://schemas.openxmlformats.org/officeDocument/2006/relationships/hyperlink" Target="https://youtu.be/vcIuR5N5iZQ" TargetMode="External"/><Relationship Id="rId121" Type="http://schemas.openxmlformats.org/officeDocument/2006/relationships/hyperlink" Target="https://youtu.be/sgPBkfAWWNI" TargetMode="External"/><Relationship Id="rId3" Type="http://schemas.openxmlformats.org/officeDocument/2006/relationships/hyperlink" Target="https://youtu.be/YRoWxDfcLXU" TargetMode="External"/><Relationship Id="rId25" Type="http://schemas.openxmlformats.org/officeDocument/2006/relationships/hyperlink" Target="https://youtu.be/uChC4A2HX9A" TargetMode="External"/><Relationship Id="rId46" Type="http://schemas.openxmlformats.org/officeDocument/2006/relationships/hyperlink" Target="https://youtu.be/LnqwJRGveEM" TargetMode="External"/><Relationship Id="rId67" Type="http://schemas.openxmlformats.org/officeDocument/2006/relationships/hyperlink" Target="https://youtu.be/XYcvXdhetRQ" TargetMode="External"/><Relationship Id="rId116" Type="http://schemas.openxmlformats.org/officeDocument/2006/relationships/hyperlink" Target="https://youtu.be/BMUrPf2rztw" TargetMode="External"/><Relationship Id="rId20" Type="http://schemas.openxmlformats.org/officeDocument/2006/relationships/hyperlink" Target="https://youtu.be/dcQfk3oRYW8" TargetMode="External"/><Relationship Id="rId41" Type="http://schemas.openxmlformats.org/officeDocument/2006/relationships/hyperlink" Target="https://youtu.be/VPsducNxa2U" TargetMode="External"/><Relationship Id="rId62" Type="http://schemas.openxmlformats.org/officeDocument/2006/relationships/hyperlink" Target="https://drive.google.com/drive/folders/1hBkhVRagVohJ6sVqbJzexGvE51C19j80?usp=sharing" TargetMode="External"/><Relationship Id="rId83" Type="http://schemas.openxmlformats.org/officeDocument/2006/relationships/hyperlink" Target="https://youtu.be/3UdqEhPeLCw" TargetMode="External"/><Relationship Id="rId88" Type="http://schemas.openxmlformats.org/officeDocument/2006/relationships/hyperlink" Target="https://youtu.be/aZLOEscPZCU" TargetMode="External"/><Relationship Id="rId111" Type="http://schemas.openxmlformats.org/officeDocument/2006/relationships/hyperlink" Target="https://youtu.be/IEJo416ylWQ" TargetMode="External"/><Relationship Id="rId15" Type="http://schemas.openxmlformats.org/officeDocument/2006/relationships/hyperlink" Target="https://youtu.be/pjHVT_frFis" TargetMode="External"/><Relationship Id="rId36" Type="http://schemas.openxmlformats.org/officeDocument/2006/relationships/hyperlink" Target="https://youtu.be/U8Liw6ckR28" TargetMode="External"/><Relationship Id="rId57" Type="http://schemas.openxmlformats.org/officeDocument/2006/relationships/hyperlink" Target="https://youtu.be/A5cxGChQ9Ps" TargetMode="External"/><Relationship Id="rId106" Type="http://schemas.openxmlformats.org/officeDocument/2006/relationships/hyperlink" Target="https://youtu.be/INFvX2AiYFM" TargetMode="External"/><Relationship Id="rId127" Type="http://schemas.openxmlformats.org/officeDocument/2006/relationships/hyperlink" Target="https://youtu.be/otoZBLn168c" TargetMode="External"/><Relationship Id="rId10" Type="http://schemas.openxmlformats.org/officeDocument/2006/relationships/hyperlink" Target="https://youtu.be/FvYKUueEtcY" TargetMode="External"/><Relationship Id="rId31" Type="http://schemas.openxmlformats.org/officeDocument/2006/relationships/hyperlink" Target="https://youtu.be/W3S3SX69PJ4" TargetMode="External"/><Relationship Id="rId52" Type="http://schemas.openxmlformats.org/officeDocument/2006/relationships/hyperlink" Target="https://youtu.be/Ah0prt98pSY" TargetMode="External"/><Relationship Id="rId73" Type="http://schemas.openxmlformats.org/officeDocument/2006/relationships/hyperlink" Target="https://youtu.be/uTT7Hj0VM7Y" TargetMode="External"/><Relationship Id="rId78" Type="http://schemas.openxmlformats.org/officeDocument/2006/relationships/hyperlink" Target="https://drive.google.com/drive/folders/1qLdJypp_SpRLj8az5QF8KOWKvcFl-bX_?usp=drive_link" TargetMode="External"/><Relationship Id="rId94" Type="http://schemas.openxmlformats.org/officeDocument/2006/relationships/hyperlink" Target="https://youtu.be/wtpp-lhPYu8" TargetMode="External"/><Relationship Id="rId99" Type="http://schemas.openxmlformats.org/officeDocument/2006/relationships/hyperlink" Target="https://drive.google.com/drive/folders/1qLdJypp_SpRLj8az5QF8KOWKvcFl-bX_?usp=drive_link" TargetMode="External"/><Relationship Id="rId101" Type="http://schemas.openxmlformats.org/officeDocument/2006/relationships/hyperlink" Target="https://drive.google.com/drive/folders/1qLdJypp_SpRLj8az5QF8KOWKvcFl-bX_?usp=drive_link" TargetMode="External"/><Relationship Id="rId122" Type="http://schemas.openxmlformats.org/officeDocument/2006/relationships/hyperlink" Target="https://youtu.be/wzXQtfKq-sc" TargetMode="External"/><Relationship Id="rId4" Type="http://schemas.openxmlformats.org/officeDocument/2006/relationships/hyperlink" Target="https://youtu.be/J7I7vDCjVWM" TargetMode="External"/><Relationship Id="rId9" Type="http://schemas.openxmlformats.org/officeDocument/2006/relationships/hyperlink" Target="https://youtu.be/c3yJPsBslwY" TargetMode="External"/><Relationship Id="rId26" Type="http://schemas.openxmlformats.org/officeDocument/2006/relationships/hyperlink" Target="https://youtu.be/qpr74JGSupc"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youtu.be/Sp2W085rrVE" TargetMode="External"/><Relationship Id="rId21" Type="http://schemas.openxmlformats.org/officeDocument/2006/relationships/hyperlink" Target="https://drive.google.com/drive/folders/1f1y5qfgQpmFEhLVReIDPqrw7-E0qlJKr?usp=drive_link" TargetMode="External"/><Relationship Id="rId42" Type="http://schemas.openxmlformats.org/officeDocument/2006/relationships/hyperlink" Target="https://youtu.be/NCs3Nl1ruaw" TargetMode="External"/><Relationship Id="rId63" Type="http://schemas.openxmlformats.org/officeDocument/2006/relationships/hyperlink" Target="https://youtu.be/7zbGjvJMeuc" TargetMode="External"/><Relationship Id="rId84" Type="http://schemas.openxmlformats.org/officeDocument/2006/relationships/hyperlink" Target="https://youtu.be/D__RkqqAmp0" TargetMode="External"/><Relationship Id="rId138" Type="http://schemas.openxmlformats.org/officeDocument/2006/relationships/hyperlink" Target="https://youtu.be/dRKgO5cSOW4" TargetMode="External"/><Relationship Id="rId107" Type="http://schemas.openxmlformats.org/officeDocument/2006/relationships/hyperlink" Target="https://youtu.be/6xy1vpnkMYY" TargetMode="External"/><Relationship Id="rId11" Type="http://schemas.openxmlformats.org/officeDocument/2006/relationships/hyperlink" Target="https://youtu.be/hOpSz2Ab7J0" TargetMode="External"/><Relationship Id="rId32" Type="http://schemas.openxmlformats.org/officeDocument/2006/relationships/hyperlink" Target="https://youtu.be/IO8L7ZcGIBE" TargetMode="External"/><Relationship Id="rId53" Type="http://schemas.openxmlformats.org/officeDocument/2006/relationships/hyperlink" Target="https://youtu.be/mIJA3Zrvw8s" TargetMode="External"/><Relationship Id="rId74" Type="http://schemas.openxmlformats.org/officeDocument/2006/relationships/hyperlink" Target="https://youtu.be/4SZf4eQ4YTo" TargetMode="External"/><Relationship Id="rId128" Type="http://schemas.openxmlformats.org/officeDocument/2006/relationships/hyperlink" Target="https://youtu.be/76LvKK6bLu0" TargetMode="External"/><Relationship Id="rId149" Type="http://schemas.openxmlformats.org/officeDocument/2006/relationships/vmlDrawing" Target="../drawings/vmlDrawing2.vml"/><Relationship Id="rId5" Type="http://schemas.openxmlformats.org/officeDocument/2006/relationships/hyperlink" Target="https://drive.google.com/drive/folders/17GlZma4If-AL9r38xDQisrpWgTfkpBR7?usp=drive_link" TargetMode="External"/><Relationship Id="rId95" Type="http://schemas.openxmlformats.org/officeDocument/2006/relationships/hyperlink" Target="https://youtu.be/xmtxEj14A1c" TargetMode="External"/><Relationship Id="rId22" Type="http://schemas.openxmlformats.org/officeDocument/2006/relationships/hyperlink" Target="https://drive.google.com/drive/folders/1f1y5qfgQpmFEhLVReIDPqrw7-E0qlJKr?usp=drive_link" TargetMode="External"/><Relationship Id="rId27" Type="http://schemas.openxmlformats.org/officeDocument/2006/relationships/hyperlink" Target="https://drive.google.com/drive/folders/1VpnjRWv51em7gBHpvNtM6e596a0xwno7?usp=drive_link" TargetMode="External"/><Relationship Id="rId43" Type="http://schemas.openxmlformats.org/officeDocument/2006/relationships/hyperlink" Target="https://youtu.be/kprY66DRrfM" TargetMode="External"/><Relationship Id="rId48" Type="http://schemas.openxmlformats.org/officeDocument/2006/relationships/hyperlink" Target="https://youtu.be/_UW6zqpqUoM" TargetMode="External"/><Relationship Id="rId64" Type="http://schemas.openxmlformats.org/officeDocument/2006/relationships/hyperlink" Target="https://youtu.be/-Z6EYaOh9M4" TargetMode="External"/><Relationship Id="rId69" Type="http://schemas.openxmlformats.org/officeDocument/2006/relationships/hyperlink" Target="https://youtu.be/Lbw2XSXdMfk" TargetMode="External"/><Relationship Id="rId113" Type="http://schemas.openxmlformats.org/officeDocument/2006/relationships/hyperlink" Target="https://youtu.be/Ik8Yu_ZLz3w" TargetMode="External"/><Relationship Id="rId118" Type="http://schemas.openxmlformats.org/officeDocument/2006/relationships/hyperlink" Target="https://youtu.be/kZh2T6cmKnc" TargetMode="External"/><Relationship Id="rId134" Type="http://schemas.openxmlformats.org/officeDocument/2006/relationships/hyperlink" Target="https://youtu.be/iJ3nSeHa4WE" TargetMode="External"/><Relationship Id="rId139" Type="http://schemas.openxmlformats.org/officeDocument/2006/relationships/hyperlink" Target="https://youtu.be/V2QRXePhD6Y" TargetMode="External"/><Relationship Id="rId80" Type="http://schemas.openxmlformats.org/officeDocument/2006/relationships/hyperlink" Target="https://youtu.be/RStenZ0btAo" TargetMode="External"/><Relationship Id="rId85" Type="http://schemas.openxmlformats.org/officeDocument/2006/relationships/hyperlink" Target="https://youtu.be/uW2ZSoGOYXw" TargetMode="External"/><Relationship Id="rId150" Type="http://schemas.openxmlformats.org/officeDocument/2006/relationships/comments" Target="../comments2.xml"/><Relationship Id="rId12" Type="http://schemas.openxmlformats.org/officeDocument/2006/relationships/hyperlink" Target="https://youtu.be/WA6jOMuJHVs" TargetMode="External"/><Relationship Id="rId17" Type="http://schemas.openxmlformats.org/officeDocument/2006/relationships/hyperlink" Target="https://youtu.be/pgv6r6XLV3U" TargetMode="External"/><Relationship Id="rId33" Type="http://schemas.openxmlformats.org/officeDocument/2006/relationships/hyperlink" Target="https://youtu.be/-fUIAZslUec" TargetMode="External"/><Relationship Id="rId38" Type="http://schemas.openxmlformats.org/officeDocument/2006/relationships/hyperlink" Target="https://youtu.be/F3V7q1L-_WM" TargetMode="External"/><Relationship Id="rId59" Type="http://schemas.openxmlformats.org/officeDocument/2006/relationships/hyperlink" Target="https://youtu.be/hTyBL9Kvyvg" TargetMode="External"/><Relationship Id="rId103" Type="http://schemas.openxmlformats.org/officeDocument/2006/relationships/hyperlink" Target="https://youtu.be/GvMV2xNMmNM" TargetMode="External"/><Relationship Id="rId108" Type="http://schemas.openxmlformats.org/officeDocument/2006/relationships/hyperlink" Target="https://youtu.be/sCvG0WEIjDA" TargetMode="External"/><Relationship Id="rId124" Type="http://schemas.openxmlformats.org/officeDocument/2006/relationships/hyperlink" Target="https://youtu.be/CUY19o0E-M0" TargetMode="External"/><Relationship Id="rId129" Type="http://schemas.openxmlformats.org/officeDocument/2006/relationships/hyperlink" Target="https://youtu.be/1OvbAuucdl8" TargetMode="External"/><Relationship Id="rId54" Type="http://schemas.openxmlformats.org/officeDocument/2006/relationships/hyperlink" Target="https://youtu.be/7vdYvES13FM" TargetMode="External"/><Relationship Id="rId70" Type="http://schemas.openxmlformats.org/officeDocument/2006/relationships/hyperlink" Target="https://youtu.be/mvTLPr_yi9Q" TargetMode="External"/><Relationship Id="rId75" Type="http://schemas.openxmlformats.org/officeDocument/2006/relationships/hyperlink" Target="https://youtu.be/AB8YZ42INfo" TargetMode="External"/><Relationship Id="rId91" Type="http://schemas.openxmlformats.org/officeDocument/2006/relationships/hyperlink" Target="https://youtu.be/fy1KvQUaxHw" TargetMode="External"/><Relationship Id="rId96" Type="http://schemas.openxmlformats.org/officeDocument/2006/relationships/hyperlink" Target="https://youtu.be/FfZ5G3bu-VM" TargetMode="External"/><Relationship Id="rId140" Type="http://schemas.openxmlformats.org/officeDocument/2006/relationships/hyperlink" Target="https://drive.google.com/drive/folders/17GlZma4If-AL9r38xDQisrpWgTfkpBR7?usp=drive_link" TargetMode="External"/><Relationship Id="rId145" Type="http://schemas.openxmlformats.org/officeDocument/2006/relationships/hyperlink" Target="https://youtu.be/gjCZqhjpxWM" TargetMode="External"/><Relationship Id="rId1" Type="http://schemas.openxmlformats.org/officeDocument/2006/relationships/hyperlink" Target="https://drive.google.com/drive/folders/17GlZma4If-AL9r38xDQisrpWgTfkpBR7?usp=drive_link" TargetMode="External"/><Relationship Id="rId6" Type="http://schemas.openxmlformats.org/officeDocument/2006/relationships/hyperlink" Target="https://drive.google.com/drive/folders/17GlZma4If-AL9r38xDQisrpWgTfkpBR7?usp=drive_link" TargetMode="External"/><Relationship Id="rId23" Type="http://schemas.openxmlformats.org/officeDocument/2006/relationships/hyperlink" Target="https://drive.google.com/drive/folders/1JhYSmYuIZ3krF7GsiAnnAVgAf5Lou9BI?usp=drive_link" TargetMode="External"/><Relationship Id="rId28" Type="http://schemas.openxmlformats.org/officeDocument/2006/relationships/hyperlink" Target="https://drive.google.com/drive/folders/1VpnjRWv51em7gBHpvNtM6e596a0xwno7?usp=drive_link" TargetMode="External"/><Relationship Id="rId49" Type="http://schemas.openxmlformats.org/officeDocument/2006/relationships/hyperlink" Target="https://youtu.be/ua5kjS5D3Aw" TargetMode="External"/><Relationship Id="rId114" Type="http://schemas.openxmlformats.org/officeDocument/2006/relationships/hyperlink" Target="https://youtu.be/9wEbfAh8HRw" TargetMode="External"/><Relationship Id="rId119" Type="http://schemas.openxmlformats.org/officeDocument/2006/relationships/hyperlink" Target="https://youtu.be/vjsJTkjwa-M" TargetMode="External"/><Relationship Id="rId44" Type="http://schemas.openxmlformats.org/officeDocument/2006/relationships/hyperlink" Target="https://youtu.be/7-fRozxcnLs" TargetMode="External"/><Relationship Id="rId60" Type="http://schemas.openxmlformats.org/officeDocument/2006/relationships/hyperlink" Target="https://youtu.be/tYqcXydJWXI" TargetMode="External"/><Relationship Id="rId65" Type="http://schemas.openxmlformats.org/officeDocument/2006/relationships/hyperlink" Target="https://youtu.be/wj1wLDtYeiI" TargetMode="External"/><Relationship Id="rId81" Type="http://schemas.openxmlformats.org/officeDocument/2006/relationships/hyperlink" Target="https://youtu.be/FZTdqS68gtw" TargetMode="External"/><Relationship Id="rId86" Type="http://schemas.openxmlformats.org/officeDocument/2006/relationships/hyperlink" Target="https://youtu.be/jndqowMlybk" TargetMode="External"/><Relationship Id="rId130" Type="http://schemas.openxmlformats.org/officeDocument/2006/relationships/hyperlink" Target="https://youtu.be/ruPo-ew3Adg" TargetMode="External"/><Relationship Id="rId135" Type="http://schemas.openxmlformats.org/officeDocument/2006/relationships/hyperlink" Target="https://youtu.be/ohTmjdZZSsg" TargetMode="External"/><Relationship Id="rId151" Type="http://schemas.microsoft.com/office/2017/10/relationships/threadedComment" Target="../threadedComments/threadedComment2.xml"/><Relationship Id="rId13" Type="http://schemas.openxmlformats.org/officeDocument/2006/relationships/hyperlink" Target="https://youtu.be/Ov3G1rdD6sw" TargetMode="External"/><Relationship Id="rId18" Type="http://schemas.openxmlformats.org/officeDocument/2006/relationships/hyperlink" Target="https://youtu.be/9ocnZKUNGwg" TargetMode="External"/><Relationship Id="rId39" Type="http://schemas.openxmlformats.org/officeDocument/2006/relationships/hyperlink" Target="https://youtu.be/DSgAHKDxHt4" TargetMode="External"/><Relationship Id="rId109" Type="http://schemas.openxmlformats.org/officeDocument/2006/relationships/hyperlink" Target="https://youtu.be/FQ29eXQZeeU" TargetMode="External"/><Relationship Id="rId34" Type="http://schemas.openxmlformats.org/officeDocument/2006/relationships/hyperlink" Target="https://youtu.be/jcsNH9g1eWY" TargetMode="External"/><Relationship Id="rId50" Type="http://schemas.openxmlformats.org/officeDocument/2006/relationships/hyperlink" Target="https://youtu.be/R48aDQzWH5c" TargetMode="External"/><Relationship Id="rId55" Type="http://schemas.openxmlformats.org/officeDocument/2006/relationships/hyperlink" Target="https://youtu.be/RoZubIEObmA" TargetMode="External"/><Relationship Id="rId76" Type="http://schemas.openxmlformats.org/officeDocument/2006/relationships/hyperlink" Target="https://youtu.be/HAW1cztNtgo" TargetMode="External"/><Relationship Id="rId97" Type="http://schemas.openxmlformats.org/officeDocument/2006/relationships/hyperlink" Target="https://youtu.be/K8N3wtu00Ds" TargetMode="External"/><Relationship Id="rId104" Type="http://schemas.openxmlformats.org/officeDocument/2006/relationships/hyperlink" Target="https://youtu.be/Y0x4e96ZNmw" TargetMode="External"/><Relationship Id="rId120" Type="http://schemas.openxmlformats.org/officeDocument/2006/relationships/hyperlink" Target="https://youtu.be/0NectYtASvQ" TargetMode="External"/><Relationship Id="rId125" Type="http://schemas.openxmlformats.org/officeDocument/2006/relationships/hyperlink" Target="https://youtu.be/QeZOYhYFR7E" TargetMode="External"/><Relationship Id="rId141" Type="http://schemas.openxmlformats.org/officeDocument/2006/relationships/hyperlink" Target="https://youtu.be/nTqA3LWljuk" TargetMode="External"/><Relationship Id="rId146" Type="http://schemas.openxmlformats.org/officeDocument/2006/relationships/hyperlink" Target="https://youtu.be/zftXdpzEnTY" TargetMode="External"/><Relationship Id="rId7" Type="http://schemas.openxmlformats.org/officeDocument/2006/relationships/hyperlink" Target="https://youtu.be/Rod-sPEvegw" TargetMode="External"/><Relationship Id="rId71" Type="http://schemas.openxmlformats.org/officeDocument/2006/relationships/hyperlink" Target="https://youtu.be/1NcdHjsnyaM" TargetMode="External"/><Relationship Id="rId92" Type="http://schemas.openxmlformats.org/officeDocument/2006/relationships/hyperlink" Target="https://youtu.be/2q-sbPUv01c" TargetMode="External"/><Relationship Id="rId2" Type="http://schemas.openxmlformats.org/officeDocument/2006/relationships/hyperlink" Target="https://drive.google.com/drive/folders/17GlZma4If-AL9r38xDQisrpWgTfkpBR7?usp=drive_link" TargetMode="External"/><Relationship Id="rId29" Type="http://schemas.openxmlformats.org/officeDocument/2006/relationships/hyperlink" Target="https://drive.google.com/drive/folders/1Xio_W9D6RWWA3Egt_Jh5hgmgQmMuCXHs?usp=drive_link" TargetMode="External"/><Relationship Id="rId24" Type="http://schemas.openxmlformats.org/officeDocument/2006/relationships/hyperlink" Target="https://drive.google.com/drive/folders/1JhYSmYuIZ3krF7GsiAnnAVgAf5Lou9BI?usp=drive_link" TargetMode="External"/><Relationship Id="rId40" Type="http://schemas.openxmlformats.org/officeDocument/2006/relationships/hyperlink" Target="https://youtu.be/m_oCazmF9i8" TargetMode="External"/><Relationship Id="rId45" Type="http://schemas.openxmlformats.org/officeDocument/2006/relationships/hyperlink" Target="https://youtu.be/NIFbBdmXY7M" TargetMode="External"/><Relationship Id="rId66" Type="http://schemas.openxmlformats.org/officeDocument/2006/relationships/hyperlink" Target="https://youtu.be/U0S44pzhF_0" TargetMode="External"/><Relationship Id="rId87" Type="http://schemas.openxmlformats.org/officeDocument/2006/relationships/hyperlink" Target="https://youtu.be/Lc7E3Tpj0jY" TargetMode="External"/><Relationship Id="rId110" Type="http://schemas.openxmlformats.org/officeDocument/2006/relationships/hyperlink" Target="https://youtu.be/KBiU5Hge0oY" TargetMode="External"/><Relationship Id="rId115" Type="http://schemas.openxmlformats.org/officeDocument/2006/relationships/hyperlink" Target="https://youtu.be/VADtol1bGf8" TargetMode="External"/><Relationship Id="rId131" Type="http://schemas.openxmlformats.org/officeDocument/2006/relationships/hyperlink" Target="https://youtu.be/NC067oAuXH4" TargetMode="External"/><Relationship Id="rId136" Type="http://schemas.openxmlformats.org/officeDocument/2006/relationships/hyperlink" Target="https://youtu.be/u4zCuKB0opg" TargetMode="External"/><Relationship Id="rId61" Type="http://schemas.openxmlformats.org/officeDocument/2006/relationships/hyperlink" Target="https://youtu.be/WK8ZrkePvjw" TargetMode="External"/><Relationship Id="rId82" Type="http://schemas.openxmlformats.org/officeDocument/2006/relationships/hyperlink" Target="https://youtu.be/f0TNILztUXw" TargetMode="External"/><Relationship Id="rId152" Type="http://schemas.microsoft.com/office/2019/04/relationships/documenttask" Target="../documenttasks/documenttask2.xml"/><Relationship Id="rId19" Type="http://schemas.openxmlformats.org/officeDocument/2006/relationships/hyperlink" Target="https://youtu.be/fhWRfZA9n50" TargetMode="External"/><Relationship Id="rId14" Type="http://schemas.openxmlformats.org/officeDocument/2006/relationships/hyperlink" Target="https://youtu.be/Uuaf3yyvsvM" TargetMode="External"/><Relationship Id="rId30" Type="http://schemas.openxmlformats.org/officeDocument/2006/relationships/hyperlink" Target="https://drive.google.com/drive/folders/1Xio_W9D6RWWA3Egt_Jh5hgmgQmMuCXHs?usp=drive_link" TargetMode="External"/><Relationship Id="rId35" Type="http://schemas.openxmlformats.org/officeDocument/2006/relationships/hyperlink" Target="https://youtu.be/7Il_3wWc1Ic" TargetMode="External"/><Relationship Id="rId56" Type="http://schemas.openxmlformats.org/officeDocument/2006/relationships/hyperlink" Target="https://youtu.be/1bcvPKB9mQQ" TargetMode="External"/><Relationship Id="rId77" Type="http://schemas.openxmlformats.org/officeDocument/2006/relationships/hyperlink" Target="https://youtu.be/Nz5h6JumQpY" TargetMode="External"/><Relationship Id="rId100" Type="http://schemas.openxmlformats.org/officeDocument/2006/relationships/hyperlink" Target="https://youtu.be/9Lj-wIfZQ6M" TargetMode="External"/><Relationship Id="rId105" Type="http://schemas.openxmlformats.org/officeDocument/2006/relationships/hyperlink" Target="https://youtu.be/p10EWseGumo" TargetMode="External"/><Relationship Id="rId126" Type="http://schemas.openxmlformats.org/officeDocument/2006/relationships/hyperlink" Target="https://youtu.be/_l0c9nXvRqQ" TargetMode="External"/><Relationship Id="rId147" Type="http://schemas.openxmlformats.org/officeDocument/2006/relationships/hyperlink" Target="https://youtu.be/53U4tEed78E" TargetMode="External"/><Relationship Id="rId8" Type="http://schemas.openxmlformats.org/officeDocument/2006/relationships/hyperlink" Target="https://youtu.be/zr79A7aTu3A" TargetMode="External"/><Relationship Id="rId51" Type="http://schemas.openxmlformats.org/officeDocument/2006/relationships/hyperlink" Target="https://youtu.be/McloGbMI67o" TargetMode="External"/><Relationship Id="rId72" Type="http://schemas.openxmlformats.org/officeDocument/2006/relationships/hyperlink" Target="https://youtu.be/jdbqaNVLRU8" TargetMode="External"/><Relationship Id="rId93" Type="http://schemas.openxmlformats.org/officeDocument/2006/relationships/hyperlink" Target="https://youtu.be/4wizslAl4iI" TargetMode="External"/><Relationship Id="rId98" Type="http://schemas.openxmlformats.org/officeDocument/2006/relationships/hyperlink" Target="https://youtu.be/6tscqcKxZnI" TargetMode="External"/><Relationship Id="rId121" Type="http://schemas.openxmlformats.org/officeDocument/2006/relationships/hyperlink" Target="https://youtu.be/LrfLtFWv6O0" TargetMode="External"/><Relationship Id="rId142" Type="http://schemas.openxmlformats.org/officeDocument/2006/relationships/hyperlink" Target="https://youtu.be/flbwFBvQ6tQ" TargetMode="External"/><Relationship Id="rId3" Type="http://schemas.openxmlformats.org/officeDocument/2006/relationships/hyperlink" Target="https://drive.google.com/drive/folders/17GlZma4If-AL9r38xDQisrpWgTfkpBR7?usp=drive_link" TargetMode="External"/><Relationship Id="rId25" Type="http://schemas.openxmlformats.org/officeDocument/2006/relationships/hyperlink" Target="https://drive.google.com/drive/folders/1Eur48EJ8Zw9XHM2ErGUkcPmnSwB2QKUZ?usp=drive_link" TargetMode="External"/><Relationship Id="rId46" Type="http://schemas.openxmlformats.org/officeDocument/2006/relationships/hyperlink" Target="https://youtu.be/saa-kImX_7Q" TargetMode="External"/><Relationship Id="rId67" Type="http://schemas.openxmlformats.org/officeDocument/2006/relationships/hyperlink" Target="https://youtu.be/Vnq84BH8_nE" TargetMode="External"/><Relationship Id="rId116" Type="http://schemas.openxmlformats.org/officeDocument/2006/relationships/hyperlink" Target="https://youtu.be/uSaOps8hZRk" TargetMode="External"/><Relationship Id="rId137" Type="http://schemas.openxmlformats.org/officeDocument/2006/relationships/hyperlink" Target="https://youtu.be/MUwb57TbON0" TargetMode="External"/><Relationship Id="rId20" Type="http://schemas.openxmlformats.org/officeDocument/2006/relationships/hyperlink" Target="https://youtu.be/IuPJk6j0JLw" TargetMode="External"/><Relationship Id="rId41" Type="http://schemas.openxmlformats.org/officeDocument/2006/relationships/hyperlink" Target="https://youtu.be/IeBzkXhzLMg" TargetMode="External"/><Relationship Id="rId62" Type="http://schemas.openxmlformats.org/officeDocument/2006/relationships/hyperlink" Target="https://youtu.be/IWoSPII2LCo" TargetMode="External"/><Relationship Id="rId83" Type="http://schemas.openxmlformats.org/officeDocument/2006/relationships/hyperlink" Target="https://youtu.be/j2aJG4OHPKQ" TargetMode="External"/><Relationship Id="rId88" Type="http://schemas.openxmlformats.org/officeDocument/2006/relationships/hyperlink" Target="https://youtu.be/tVt8-mv5-Iw" TargetMode="External"/><Relationship Id="rId111" Type="http://schemas.openxmlformats.org/officeDocument/2006/relationships/hyperlink" Target="https://youtu.be/FfBohIWWb-A" TargetMode="External"/><Relationship Id="rId132" Type="http://schemas.openxmlformats.org/officeDocument/2006/relationships/hyperlink" Target="https://youtu.be/wHOC5GV0RpY" TargetMode="External"/><Relationship Id="rId15" Type="http://schemas.openxmlformats.org/officeDocument/2006/relationships/hyperlink" Target="https://youtu.be/4gJvmo8oYeg" TargetMode="External"/><Relationship Id="rId36" Type="http://schemas.openxmlformats.org/officeDocument/2006/relationships/hyperlink" Target="https://youtu.be/mSGgoxHj834" TargetMode="External"/><Relationship Id="rId57" Type="http://schemas.openxmlformats.org/officeDocument/2006/relationships/hyperlink" Target="https://youtu.be/nRPT8LTAE9A" TargetMode="External"/><Relationship Id="rId106" Type="http://schemas.openxmlformats.org/officeDocument/2006/relationships/hyperlink" Target="https://youtu.be/ZKbojGW9_So" TargetMode="External"/><Relationship Id="rId127" Type="http://schemas.openxmlformats.org/officeDocument/2006/relationships/hyperlink" Target="https://youtu.be/Ap-fi_vALwQ" TargetMode="External"/><Relationship Id="rId10" Type="http://schemas.openxmlformats.org/officeDocument/2006/relationships/hyperlink" Target="https://youtu.be/Th1j6OlTO5M" TargetMode="External"/><Relationship Id="rId31" Type="http://schemas.openxmlformats.org/officeDocument/2006/relationships/hyperlink" Target="https://youtu.be/4_7ttKOawbY" TargetMode="External"/><Relationship Id="rId52" Type="http://schemas.openxmlformats.org/officeDocument/2006/relationships/hyperlink" Target="https://youtu.be/9iDWxLg-ajI" TargetMode="External"/><Relationship Id="rId73" Type="http://schemas.openxmlformats.org/officeDocument/2006/relationships/hyperlink" Target="https://youtu.be/12fs5D3KghI" TargetMode="External"/><Relationship Id="rId78" Type="http://schemas.openxmlformats.org/officeDocument/2006/relationships/hyperlink" Target="https://youtu.be/yjEcmCJeLZI" TargetMode="External"/><Relationship Id="rId94" Type="http://schemas.openxmlformats.org/officeDocument/2006/relationships/hyperlink" Target="https://youtu.be/bPCusHxXqwY" TargetMode="External"/><Relationship Id="rId99" Type="http://schemas.openxmlformats.org/officeDocument/2006/relationships/hyperlink" Target="https://youtu.be/WjQylXkNIAw" TargetMode="External"/><Relationship Id="rId101" Type="http://schemas.openxmlformats.org/officeDocument/2006/relationships/hyperlink" Target="https://youtu.be/W6PLmL27sPs" TargetMode="External"/><Relationship Id="rId122" Type="http://schemas.openxmlformats.org/officeDocument/2006/relationships/hyperlink" Target="https://youtu.be/29RaLQQxR-M" TargetMode="External"/><Relationship Id="rId143" Type="http://schemas.openxmlformats.org/officeDocument/2006/relationships/hyperlink" Target="https://youtu.be/pmZ7y5W7AGg" TargetMode="External"/><Relationship Id="rId148" Type="http://schemas.openxmlformats.org/officeDocument/2006/relationships/hyperlink" Target="https://youtu.be/1fXHMtQCDFE" TargetMode="External"/><Relationship Id="rId4" Type="http://schemas.openxmlformats.org/officeDocument/2006/relationships/hyperlink" Target="https://drive.google.com/drive/folders/17GlZma4If-AL9r38xDQisrpWgTfkpBR7?usp=drive_link" TargetMode="External"/><Relationship Id="rId9" Type="http://schemas.openxmlformats.org/officeDocument/2006/relationships/hyperlink" Target="https://youtu.be/6de6iREpX-A" TargetMode="External"/><Relationship Id="rId26" Type="http://schemas.openxmlformats.org/officeDocument/2006/relationships/hyperlink" Target="https://drive.google.com/drive/folders/1Eur48EJ8Zw9XHM2ErGUkcPmnSwB2QKUZ?usp=drive_link" TargetMode="External"/><Relationship Id="rId47" Type="http://schemas.openxmlformats.org/officeDocument/2006/relationships/hyperlink" Target="https://youtu.be/ACFeqbGKm7s" TargetMode="External"/><Relationship Id="rId68" Type="http://schemas.openxmlformats.org/officeDocument/2006/relationships/hyperlink" Target="https://youtu.be/qSq8mVNgbk4" TargetMode="External"/><Relationship Id="rId89" Type="http://schemas.openxmlformats.org/officeDocument/2006/relationships/hyperlink" Target="https://youtu.be/b-1v9qyS0pk" TargetMode="External"/><Relationship Id="rId112" Type="http://schemas.openxmlformats.org/officeDocument/2006/relationships/hyperlink" Target="https://youtu.be/hjurTPiF_Fg" TargetMode="External"/><Relationship Id="rId133" Type="http://schemas.openxmlformats.org/officeDocument/2006/relationships/hyperlink" Target="https://youtu.be/aaKDPs8z3jI" TargetMode="External"/><Relationship Id="rId16" Type="http://schemas.openxmlformats.org/officeDocument/2006/relationships/hyperlink" Target="https://youtu.be/kZH7f_DPQdQ" TargetMode="External"/><Relationship Id="rId37" Type="http://schemas.openxmlformats.org/officeDocument/2006/relationships/hyperlink" Target="https://youtu.be/-VNmgcnsseo" TargetMode="External"/><Relationship Id="rId58" Type="http://schemas.openxmlformats.org/officeDocument/2006/relationships/hyperlink" Target="https://youtu.be/cdzc6MTVfhk" TargetMode="External"/><Relationship Id="rId79" Type="http://schemas.openxmlformats.org/officeDocument/2006/relationships/hyperlink" Target="https://youtu.be/s6Qx6Emie1M" TargetMode="External"/><Relationship Id="rId102" Type="http://schemas.openxmlformats.org/officeDocument/2006/relationships/hyperlink" Target="https://youtu.be/VDRvZgjcpVg" TargetMode="External"/><Relationship Id="rId123" Type="http://schemas.openxmlformats.org/officeDocument/2006/relationships/hyperlink" Target="https://youtu.be/qyF8V_nBXEc" TargetMode="External"/><Relationship Id="rId144" Type="http://schemas.openxmlformats.org/officeDocument/2006/relationships/hyperlink" Target="https://youtu.be/s72rYqYDzWg" TargetMode="External"/><Relationship Id="rId90" Type="http://schemas.openxmlformats.org/officeDocument/2006/relationships/hyperlink" Target="https://youtu.be/-hqzCfHMaDA"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rive.google.com/drive/folders/1tVttXtLim3HZ9vn_sEV5kxeNuOs1r4Ci?usp=drive_link" TargetMode="External"/><Relationship Id="rId21" Type="http://schemas.openxmlformats.org/officeDocument/2006/relationships/hyperlink" Target="https://youtu.be/IaAu6nYZb1k" TargetMode="External"/><Relationship Id="rId42" Type="http://schemas.openxmlformats.org/officeDocument/2006/relationships/hyperlink" Target="https://youtu.be/iiZTKq_eZSI" TargetMode="External"/><Relationship Id="rId63" Type="http://schemas.openxmlformats.org/officeDocument/2006/relationships/hyperlink" Target="https://youtu.be/b-RvjhaSSt8" TargetMode="External"/><Relationship Id="rId84" Type="http://schemas.openxmlformats.org/officeDocument/2006/relationships/hyperlink" Target="https://youtu.be/60DzT5wx5Gg" TargetMode="External"/><Relationship Id="rId138" Type="http://schemas.openxmlformats.org/officeDocument/2006/relationships/hyperlink" Target="https://youtu.be/Kh6ZHdYQut4" TargetMode="External"/><Relationship Id="rId159" Type="http://schemas.openxmlformats.org/officeDocument/2006/relationships/hyperlink" Target="https://youtu.be/JixqexX3Pks" TargetMode="External"/><Relationship Id="rId170" Type="http://schemas.openxmlformats.org/officeDocument/2006/relationships/hyperlink" Target="https://youtu.be/0XwJKZubNFA" TargetMode="External"/><Relationship Id="rId191" Type="http://schemas.openxmlformats.org/officeDocument/2006/relationships/hyperlink" Target="https://youtu.be/sKSXLm4Qfrg" TargetMode="External"/><Relationship Id="rId205" Type="http://schemas.openxmlformats.org/officeDocument/2006/relationships/hyperlink" Target="https://youtu.be/VpSKuvNpdqw" TargetMode="External"/><Relationship Id="rId226" Type="http://schemas.openxmlformats.org/officeDocument/2006/relationships/comments" Target="../comments3.xml"/><Relationship Id="rId107" Type="http://schemas.openxmlformats.org/officeDocument/2006/relationships/hyperlink" Target="https://youtu.be/smBPfGphE6w" TargetMode="External"/><Relationship Id="rId11" Type="http://schemas.openxmlformats.org/officeDocument/2006/relationships/hyperlink" Target="https://youtu.be/tt-04GP1wSQ" TargetMode="External"/><Relationship Id="rId32" Type="http://schemas.openxmlformats.org/officeDocument/2006/relationships/hyperlink" Target="https://youtu.be/mZOz3osBlYg" TargetMode="External"/><Relationship Id="rId53" Type="http://schemas.openxmlformats.org/officeDocument/2006/relationships/hyperlink" Target="https://youtu.be/8uj92HEG9ag" TargetMode="External"/><Relationship Id="rId74" Type="http://schemas.openxmlformats.org/officeDocument/2006/relationships/hyperlink" Target="https://youtu.be/ivTUbwrvB88" TargetMode="External"/><Relationship Id="rId128" Type="http://schemas.openxmlformats.org/officeDocument/2006/relationships/hyperlink" Target="https://drive.google.com/drive/folders/1tVttXtLim3HZ9vn_sEV5kxeNuOs1r4Ci?usp=drive_link" TargetMode="External"/><Relationship Id="rId149" Type="http://schemas.openxmlformats.org/officeDocument/2006/relationships/hyperlink" Target="https://youtu.be/oJZY3ZU0wUY" TargetMode="External"/><Relationship Id="rId5" Type="http://schemas.openxmlformats.org/officeDocument/2006/relationships/hyperlink" Target="https://drive.google.com/drive/folders/1Vp5oJt62QDfwh7aIgUBTA4AebTyqTYAC?usp=drive_link" TargetMode="External"/><Relationship Id="rId95" Type="http://schemas.openxmlformats.org/officeDocument/2006/relationships/hyperlink" Target="https://youtu.be/6kQvsR33wRE" TargetMode="External"/><Relationship Id="rId160" Type="http://schemas.openxmlformats.org/officeDocument/2006/relationships/hyperlink" Target="https://youtu.be/JYotOLpgHuo" TargetMode="External"/><Relationship Id="rId181" Type="http://schemas.openxmlformats.org/officeDocument/2006/relationships/hyperlink" Target="https://youtu.be/I7tU4K-UgQg" TargetMode="External"/><Relationship Id="rId216" Type="http://schemas.openxmlformats.org/officeDocument/2006/relationships/hyperlink" Target="https://youtu.be/VR71qKf1dwc" TargetMode="External"/><Relationship Id="rId22" Type="http://schemas.openxmlformats.org/officeDocument/2006/relationships/hyperlink" Target="https://youtu.be/14SKIsLb76k" TargetMode="External"/><Relationship Id="rId43" Type="http://schemas.openxmlformats.org/officeDocument/2006/relationships/hyperlink" Target="https://youtu.be/MrVPbrgdK7E" TargetMode="External"/><Relationship Id="rId64" Type="http://schemas.openxmlformats.org/officeDocument/2006/relationships/hyperlink" Target="https://youtu.be/ma0tMzhJngo" TargetMode="External"/><Relationship Id="rId118" Type="http://schemas.openxmlformats.org/officeDocument/2006/relationships/hyperlink" Target="https://drive.google.com/drive/folders/1tVttXtLim3HZ9vn_sEV5kxeNuOs1r4Ci?usp=drive_link" TargetMode="External"/><Relationship Id="rId139" Type="http://schemas.openxmlformats.org/officeDocument/2006/relationships/hyperlink" Target="https://youtu.be/w2g1YiWIGnw" TargetMode="External"/><Relationship Id="rId85" Type="http://schemas.openxmlformats.org/officeDocument/2006/relationships/hyperlink" Target="https://youtu.be/y7U1rtTaxLU" TargetMode="External"/><Relationship Id="rId150" Type="http://schemas.openxmlformats.org/officeDocument/2006/relationships/hyperlink" Target="https://youtu.be/nK53LIjbuqo" TargetMode="External"/><Relationship Id="rId171" Type="http://schemas.openxmlformats.org/officeDocument/2006/relationships/hyperlink" Target="https://youtu.be/OlHyzFOkqbQ" TargetMode="External"/><Relationship Id="rId192" Type="http://schemas.openxmlformats.org/officeDocument/2006/relationships/hyperlink" Target="https://youtu.be/QQ6HcLQOPeI" TargetMode="External"/><Relationship Id="rId206" Type="http://schemas.openxmlformats.org/officeDocument/2006/relationships/hyperlink" Target="https://youtu.be/Qal0RPNQotY" TargetMode="External"/><Relationship Id="rId227" Type="http://schemas.microsoft.com/office/2017/10/relationships/threadedComment" Target="../threadedComments/threadedComment3.xml"/><Relationship Id="rId12" Type="http://schemas.openxmlformats.org/officeDocument/2006/relationships/hyperlink" Target="https://youtu.be/McEOJaSOZSM" TargetMode="External"/><Relationship Id="rId33" Type="http://schemas.openxmlformats.org/officeDocument/2006/relationships/hyperlink" Target="https://youtu.be/GAaH-NZbQBg" TargetMode="External"/><Relationship Id="rId108" Type="http://schemas.openxmlformats.org/officeDocument/2006/relationships/hyperlink" Target="https://youtu.be/uBPwQz8Hiso" TargetMode="External"/><Relationship Id="rId129" Type="http://schemas.openxmlformats.org/officeDocument/2006/relationships/hyperlink" Target="https://drive.google.com/drive/folders/1tVttXtLim3HZ9vn_sEV5kxeNuOs1r4Ci?usp=drive_link" TargetMode="External"/><Relationship Id="rId54" Type="http://schemas.openxmlformats.org/officeDocument/2006/relationships/hyperlink" Target="https://youtu.be/eH_6jkGvZKQ" TargetMode="External"/><Relationship Id="rId75" Type="http://schemas.openxmlformats.org/officeDocument/2006/relationships/hyperlink" Target="https://youtu.be/BbXMgBkLK-A" TargetMode="External"/><Relationship Id="rId96" Type="http://schemas.openxmlformats.org/officeDocument/2006/relationships/hyperlink" Target="https://youtu.be/GhtXV9MEUgo" TargetMode="External"/><Relationship Id="rId140" Type="http://schemas.openxmlformats.org/officeDocument/2006/relationships/hyperlink" Target="https://drive.google.com/drive/folders/1tTPmB64lhW1LrLvE-MbVpP6eZo57m0KO?usp=sharing" TargetMode="External"/><Relationship Id="rId161" Type="http://schemas.openxmlformats.org/officeDocument/2006/relationships/hyperlink" Target="https://youtu.be/YkjVxpcm_Es" TargetMode="External"/><Relationship Id="rId182" Type="http://schemas.openxmlformats.org/officeDocument/2006/relationships/hyperlink" Target="https://youtu.be/gipINq3jEDU" TargetMode="External"/><Relationship Id="rId217" Type="http://schemas.openxmlformats.org/officeDocument/2006/relationships/hyperlink" Target="https://youtu.be/k7WxLLHUAw4" TargetMode="External"/><Relationship Id="rId6" Type="http://schemas.openxmlformats.org/officeDocument/2006/relationships/hyperlink" Target="https://drive.google.com/drive/folders/1fKGoq7rWkDk2n1FoPOQoG_3h_MiZnycw" TargetMode="External"/><Relationship Id="rId23" Type="http://schemas.openxmlformats.org/officeDocument/2006/relationships/hyperlink" Target="https://youtu.be/BhToRKPludc" TargetMode="External"/><Relationship Id="rId119" Type="http://schemas.openxmlformats.org/officeDocument/2006/relationships/hyperlink" Target="https://drive.google.com/drive/folders/1tVttXtLim3HZ9vn_sEV5kxeNuOs1r4Ci?usp=drive_link" TargetMode="External"/><Relationship Id="rId44" Type="http://schemas.openxmlformats.org/officeDocument/2006/relationships/hyperlink" Target="https://youtu.be/qXrxaTkFkEY" TargetMode="External"/><Relationship Id="rId65" Type="http://schemas.openxmlformats.org/officeDocument/2006/relationships/hyperlink" Target="https://youtu.be/4ivdEG7bkjI" TargetMode="External"/><Relationship Id="rId86" Type="http://schemas.openxmlformats.org/officeDocument/2006/relationships/hyperlink" Target="https://youtu.be/UFZRB7X_tkA" TargetMode="External"/><Relationship Id="rId130" Type="http://schemas.openxmlformats.org/officeDocument/2006/relationships/hyperlink" Target="https://drive.google.com/drive/folders/1tVttXtLim3HZ9vn_sEV5kxeNuOs1r4Ci?usp=drive_link" TargetMode="External"/><Relationship Id="rId151" Type="http://schemas.openxmlformats.org/officeDocument/2006/relationships/hyperlink" Target="https://youtu.be/o9-nUFaljfQ" TargetMode="External"/><Relationship Id="rId172" Type="http://schemas.openxmlformats.org/officeDocument/2006/relationships/hyperlink" Target="https://youtu.be/FEd0OjvK5EM" TargetMode="External"/><Relationship Id="rId193" Type="http://schemas.openxmlformats.org/officeDocument/2006/relationships/hyperlink" Target="https://youtu.be/1SS-xm0GoM0" TargetMode="External"/><Relationship Id="rId207" Type="http://schemas.openxmlformats.org/officeDocument/2006/relationships/hyperlink" Target="https://youtu.be/4wScbNRvMew" TargetMode="External"/><Relationship Id="rId13" Type="http://schemas.openxmlformats.org/officeDocument/2006/relationships/hyperlink" Target="https://youtu.be/xG2Bz8EiXxE" TargetMode="External"/><Relationship Id="rId109" Type="http://schemas.openxmlformats.org/officeDocument/2006/relationships/hyperlink" Target="https://youtu.be/UXK1pRxHAw8" TargetMode="External"/><Relationship Id="rId34" Type="http://schemas.openxmlformats.org/officeDocument/2006/relationships/hyperlink" Target="https://youtu.be/fl6mje0Y-mI" TargetMode="External"/><Relationship Id="rId55" Type="http://schemas.openxmlformats.org/officeDocument/2006/relationships/hyperlink" Target="https://youtu.be/wY6BgOn5rP4" TargetMode="External"/><Relationship Id="rId76" Type="http://schemas.openxmlformats.org/officeDocument/2006/relationships/hyperlink" Target="https://youtu.be/N9thu-48Ck8" TargetMode="External"/><Relationship Id="rId97" Type="http://schemas.openxmlformats.org/officeDocument/2006/relationships/hyperlink" Target="https://youtu.be/PaHvNeTvr-0" TargetMode="External"/><Relationship Id="rId120" Type="http://schemas.openxmlformats.org/officeDocument/2006/relationships/hyperlink" Target="https://drive.google.com/drive/folders/1tVttXtLim3HZ9vn_sEV5kxeNuOs1r4Ci?usp=drive_link" TargetMode="External"/><Relationship Id="rId141" Type="http://schemas.openxmlformats.org/officeDocument/2006/relationships/hyperlink" Target="https://drive.google.com/drive/folders/1tTPmB64lhW1LrLvE-MbVpP6eZo57m0KO?usp=sharing" TargetMode="External"/><Relationship Id="rId7" Type="http://schemas.openxmlformats.org/officeDocument/2006/relationships/hyperlink" Target="https://drive.google.com/drive/folders/1fKGoq7rWkDk2n1FoPOQoG_3h_MiZnycw" TargetMode="External"/><Relationship Id="rId162" Type="http://schemas.openxmlformats.org/officeDocument/2006/relationships/hyperlink" Target="https://youtu.be/Fe7CzNrZ2hU" TargetMode="External"/><Relationship Id="rId183" Type="http://schemas.openxmlformats.org/officeDocument/2006/relationships/hyperlink" Target="https://youtu.be/C-zvhpnxFUU" TargetMode="External"/><Relationship Id="rId218" Type="http://schemas.openxmlformats.org/officeDocument/2006/relationships/hyperlink" Target="https://youtu.be/gNRWFeXd1Yw" TargetMode="External"/><Relationship Id="rId24" Type="http://schemas.openxmlformats.org/officeDocument/2006/relationships/hyperlink" Target="https://youtu.be/gBC4TeHepKQ" TargetMode="External"/><Relationship Id="rId45" Type="http://schemas.openxmlformats.org/officeDocument/2006/relationships/hyperlink" Target="https://youtu.be/ySlWGLRIi5o" TargetMode="External"/><Relationship Id="rId66" Type="http://schemas.openxmlformats.org/officeDocument/2006/relationships/hyperlink" Target="https://youtu.be/GZ9QGxY2sqc" TargetMode="External"/><Relationship Id="rId87" Type="http://schemas.openxmlformats.org/officeDocument/2006/relationships/hyperlink" Target="https://youtu.be/6VLZh7zpQ_w" TargetMode="External"/><Relationship Id="rId110" Type="http://schemas.openxmlformats.org/officeDocument/2006/relationships/hyperlink" Target="https://youtu.be/n_pNkIAkCR8" TargetMode="External"/><Relationship Id="rId131" Type="http://schemas.openxmlformats.org/officeDocument/2006/relationships/hyperlink" Target="https://drive.google.com/drive/folders/1tVttXtLim3HZ9vn_sEV5kxeNuOs1r4Ci?usp=drive_link" TargetMode="External"/><Relationship Id="rId152" Type="http://schemas.openxmlformats.org/officeDocument/2006/relationships/hyperlink" Target="https://youtu.be/e2EM7LzWvgc" TargetMode="External"/><Relationship Id="rId173" Type="http://schemas.openxmlformats.org/officeDocument/2006/relationships/hyperlink" Target="https://youtu.be/-Y_ebzEi7yE" TargetMode="External"/><Relationship Id="rId194" Type="http://schemas.openxmlformats.org/officeDocument/2006/relationships/hyperlink" Target="https://youtu.be/lSqkzlgBBCU" TargetMode="External"/><Relationship Id="rId208" Type="http://schemas.openxmlformats.org/officeDocument/2006/relationships/hyperlink" Target="https://youtu.be/a-m8HZg4f30" TargetMode="External"/><Relationship Id="rId14" Type="http://schemas.openxmlformats.org/officeDocument/2006/relationships/hyperlink" Target="https://youtu.be/sdeZJWto9vE" TargetMode="External"/><Relationship Id="rId35" Type="http://schemas.openxmlformats.org/officeDocument/2006/relationships/hyperlink" Target="https://youtu.be/RZ3GirOJRk4" TargetMode="External"/><Relationship Id="rId56" Type="http://schemas.openxmlformats.org/officeDocument/2006/relationships/hyperlink" Target="https://youtu.be/VDueqEGF09Y" TargetMode="External"/><Relationship Id="rId77" Type="http://schemas.openxmlformats.org/officeDocument/2006/relationships/hyperlink" Target="https://youtu.be/eJ207ATMsf0" TargetMode="External"/><Relationship Id="rId100" Type="http://schemas.openxmlformats.org/officeDocument/2006/relationships/hyperlink" Target="https://youtu.be/jTsHpaBH_Uk" TargetMode="External"/><Relationship Id="rId8" Type="http://schemas.openxmlformats.org/officeDocument/2006/relationships/hyperlink" Target="https://drive.google.com/drive/folders/1jBa9nySWcdBMirkUzK0uWyAFgiWkdgcx?usp=drive_link" TargetMode="External"/><Relationship Id="rId98" Type="http://schemas.openxmlformats.org/officeDocument/2006/relationships/hyperlink" Target="https://youtu.be/Ui3-QLVe7BY" TargetMode="External"/><Relationship Id="rId121" Type="http://schemas.openxmlformats.org/officeDocument/2006/relationships/hyperlink" Target="https://drive.google.com/drive/folders/1tVttXtLim3HZ9vn_sEV5kxeNuOs1r4Ci?usp=drive_link" TargetMode="External"/><Relationship Id="rId142" Type="http://schemas.openxmlformats.org/officeDocument/2006/relationships/hyperlink" Target="https://drive.google.com/drive/folders/1tTPmB64lhW1LrLvE-MbVpP6eZo57m0KO?usp=sharing" TargetMode="External"/><Relationship Id="rId163" Type="http://schemas.openxmlformats.org/officeDocument/2006/relationships/hyperlink" Target="https://youtu.be/puqWl6jIUy0" TargetMode="External"/><Relationship Id="rId184" Type="http://schemas.openxmlformats.org/officeDocument/2006/relationships/hyperlink" Target="https://youtu.be/FHODlkPUbDs" TargetMode="External"/><Relationship Id="rId219" Type="http://schemas.openxmlformats.org/officeDocument/2006/relationships/hyperlink" Target="https://youtu.be/zTXEJZs_ECg" TargetMode="External"/><Relationship Id="rId3" Type="http://schemas.openxmlformats.org/officeDocument/2006/relationships/hyperlink" Target="https://drive.google.com/drive/folders/1CBZQ_UdC3ZwKlTcDbFAgk8pFHgIvqxpG?usp=drive_link" TargetMode="External"/><Relationship Id="rId214" Type="http://schemas.openxmlformats.org/officeDocument/2006/relationships/hyperlink" Target="https://youtu.be/TACFUpoMyKY" TargetMode="External"/><Relationship Id="rId25" Type="http://schemas.openxmlformats.org/officeDocument/2006/relationships/hyperlink" Target="https://youtu.be/o18CLF21q9A" TargetMode="External"/><Relationship Id="rId46" Type="http://schemas.openxmlformats.org/officeDocument/2006/relationships/hyperlink" Target="https://youtu.be/YAY1qttcGa4" TargetMode="External"/><Relationship Id="rId67" Type="http://schemas.openxmlformats.org/officeDocument/2006/relationships/hyperlink" Target="https://youtu.be/WS1WfwfoiT4" TargetMode="External"/><Relationship Id="rId116" Type="http://schemas.openxmlformats.org/officeDocument/2006/relationships/hyperlink" Target="https://drive.google.com/drive/folders/1tVttXtLim3HZ9vn_sEV5kxeNuOs1r4Ci?usp=drive_link" TargetMode="External"/><Relationship Id="rId137" Type="http://schemas.openxmlformats.org/officeDocument/2006/relationships/hyperlink" Target="https://drive.google.com/drive/folders/1PoLWez6WBM_3jdyyct8HUUMyUV2BmWqY?usp=drive_link" TargetMode="External"/><Relationship Id="rId158" Type="http://schemas.openxmlformats.org/officeDocument/2006/relationships/hyperlink" Target="https://youtu.be/xjc996cWTpg" TargetMode="External"/><Relationship Id="rId20" Type="http://schemas.openxmlformats.org/officeDocument/2006/relationships/hyperlink" Target="https://youtu.be/kia27Njrbmw" TargetMode="External"/><Relationship Id="rId41" Type="http://schemas.openxmlformats.org/officeDocument/2006/relationships/hyperlink" Target="https://youtu.be/jz16A0Hq0JM" TargetMode="External"/><Relationship Id="rId62" Type="http://schemas.openxmlformats.org/officeDocument/2006/relationships/hyperlink" Target="https://youtu.be/IuAQUTz_wTg" TargetMode="External"/><Relationship Id="rId83" Type="http://schemas.openxmlformats.org/officeDocument/2006/relationships/hyperlink" Target="https://youtu.be/8pPRLC0UWNI" TargetMode="External"/><Relationship Id="rId88" Type="http://schemas.openxmlformats.org/officeDocument/2006/relationships/hyperlink" Target="https://youtu.be/zbZL69eYsZg" TargetMode="External"/><Relationship Id="rId111" Type="http://schemas.openxmlformats.org/officeDocument/2006/relationships/hyperlink" Target="https://youtu.be/nZ--KuWsrCU" TargetMode="External"/><Relationship Id="rId132" Type="http://schemas.openxmlformats.org/officeDocument/2006/relationships/hyperlink" Target="https://drive.google.com/drive/folders/1tVttXtLim3HZ9vn_sEV5kxeNuOs1r4Ci?usp=drive_link" TargetMode="External"/><Relationship Id="rId153" Type="http://schemas.openxmlformats.org/officeDocument/2006/relationships/hyperlink" Target="https://youtu.be/gaCpDdRZPyw" TargetMode="External"/><Relationship Id="rId174" Type="http://schemas.openxmlformats.org/officeDocument/2006/relationships/hyperlink" Target="https://youtu.be/PHArkxHYmu0" TargetMode="External"/><Relationship Id="rId179" Type="http://schemas.openxmlformats.org/officeDocument/2006/relationships/hyperlink" Target="https://youtu.be/pPRTRT6S59Q" TargetMode="External"/><Relationship Id="rId195" Type="http://schemas.openxmlformats.org/officeDocument/2006/relationships/hyperlink" Target="https://youtu.be/KGAikxKur_M" TargetMode="External"/><Relationship Id="rId209" Type="http://schemas.openxmlformats.org/officeDocument/2006/relationships/hyperlink" Target="https://youtu.be/2ExpFQ7o5ag" TargetMode="External"/><Relationship Id="rId190" Type="http://schemas.openxmlformats.org/officeDocument/2006/relationships/hyperlink" Target="https://youtu.be/Qqo8ZlHuUu8" TargetMode="External"/><Relationship Id="rId204" Type="http://schemas.openxmlformats.org/officeDocument/2006/relationships/hyperlink" Target="https://youtu.be/DTOm6J69z8I" TargetMode="External"/><Relationship Id="rId220" Type="http://schemas.openxmlformats.org/officeDocument/2006/relationships/hyperlink" Target="https://youtu.be/13Um86zVDnc" TargetMode="External"/><Relationship Id="rId225" Type="http://schemas.openxmlformats.org/officeDocument/2006/relationships/vmlDrawing" Target="../drawings/vmlDrawing3.vml"/><Relationship Id="rId15" Type="http://schemas.openxmlformats.org/officeDocument/2006/relationships/hyperlink" Target="https://youtu.be/742YloFnKTs" TargetMode="External"/><Relationship Id="rId36" Type="http://schemas.openxmlformats.org/officeDocument/2006/relationships/hyperlink" Target="https://youtu.be/L-88pruo73g" TargetMode="External"/><Relationship Id="rId57" Type="http://schemas.openxmlformats.org/officeDocument/2006/relationships/hyperlink" Target="https://youtu.be/PLQCk6AbC_0" TargetMode="External"/><Relationship Id="rId106" Type="http://schemas.openxmlformats.org/officeDocument/2006/relationships/hyperlink" Target="https://youtu.be/HpkYntqiSPg" TargetMode="External"/><Relationship Id="rId127" Type="http://schemas.openxmlformats.org/officeDocument/2006/relationships/hyperlink" Target="https://drive.google.com/drive/folders/1tVttXtLim3HZ9vn_sEV5kxeNuOs1r4Ci?usp=drive_link" TargetMode="External"/><Relationship Id="rId10" Type="http://schemas.openxmlformats.org/officeDocument/2006/relationships/hyperlink" Target="https://youtu.be/pNES9zvBU7I" TargetMode="External"/><Relationship Id="rId31" Type="http://schemas.openxmlformats.org/officeDocument/2006/relationships/hyperlink" Target="https://youtu.be/FOcs6wGLZNk" TargetMode="External"/><Relationship Id="rId52" Type="http://schemas.openxmlformats.org/officeDocument/2006/relationships/hyperlink" Target="https://youtu.be/KPDlU9U7K9g" TargetMode="External"/><Relationship Id="rId73" Type="http://schemas.openxmlformats.org/officeDocument/2006/relationships/hyperlink" Target="https://youtu.be/Lo8GIm9Ley4" TargetMode="External"/><Relationship Id="rId78" Type="http://schemas.openxmlformats.org/officeDocument/2006/relationships/hyperlink" Target="https://youtu.be/6l2fCwAeEMQ" TargetMode="External"/><Relationship Id="rId94" Type="http://schemas.openxmlformats.org/officeDocument/2006/relationships/hyperlink" Target="https://drive.google.com/drive/folders/1tVttXtLim3HZ9vn_sEV5kxeNuOs1r4Ci?usp=drive_link" TargetMode="External"/><Relationship Id="rId99" Type="http://schemas.openxmlformats.org/officeDocument/2006/relationships/hyperlink" Target="https://youtu.be/74pX4A685R0" TargetMode="External"/><Relationship Id="rId101" Type="http://schemas.openxmlformats.org/officeDocument/2006/relationships/hyperlink" Target="https://youtu.be/Gy7CectKuyk" TargetMode="External"/><Relationship Id="rId122" Type="http://schemas.openxmlformats.org/officeDocument/2006/relationships/hyperlink" Target="https://drive.google.com/drive/folders/1tVttXtLim3HZ9vn_sEV5kxeNuOs1r4Ci?usp=drive_link" TargetMode="External"/><Relationship Id="rId143" Type="http://schemas.openxmlformats.org/officeDocument/2006/relationships/hyperlink" Target="https://youtu.be/6LiDcv6o6xI" TargetMode="External"/><Relationship Id="rId148" Type="http://schemas.openxmlformats.org/officeDocument/2006/relationships/hyperlink" Target="https://youtu.be/OARPou1b_OY" TargetMode="External"/><Relationship Id="rId164" Type="http://schemas.openxmlformats.org/officeDocument/2006/relationships/hyperlink" Target="https://youtu.be/xoZ5Coec5xg" TargetMode="External"/><Relationship Id="rId169" Type="http://schemas.openxmlformats.org/officeDocument/2006/relationships/hyperlink" Target="https://youtu.be/rViOFIF97V0" TargetMode="External"/><Relationship Id="rId185" Type="http://schemas.openxmlformats.org/officeDocument/2006/relationships/hyperlink" Target="https://youtu.be/EGU4zjK8Eu8" TargetMode="External"/><Relationship Id="rId4" Type="http://schemas.openxmlformats.org/officeDocument/2006/relationships/hyperlink" Target="https://drive.google.com/drive/folders/1GAATcyemqrid8vFi8pBYuMFvQ-xzm2Mu?usp=drive_link" TargetMode="External"/><Relationship Id="rId9" Type="http://schemas.openxmlformats.org/officeDocument/2006/relationships/hyperlink" Target="https://drive.google.com/drive/folders/1jBa9nySWcdBMirkUzK0uWyAFgiWkdgcx?usp=drive_link" TargetMode="External"/><Relationship Id="rId180" Type="http://schemas.openxmlformats.org/officeDocument/2006/relationships/hyperlink" Target="https://youtu.be/84g6C_EO7zk" TargetMode="External"/><Relationship Id="rId210" Type="http://schemas.openxmlformats.org/officeDocument/2006/relationships/hyperlink" Target="https://youtu.be/U-GGObmTa6A" TargetMode="External"/><Relationship Id="rId215" Type="http://schemas.openxmlformats.org/officeDocument/2006/relationships/hyperlink" Target="https://youtu.be/ACm3X4RCJwA" TargetMode="External"/><Relationship Id="rId26" Type="http://schemas.openxmlformats.org/officeDocument/2006/relationships/hyperlink" Target="https://youtu.be/jG9SNO8aKjk" TargetMode="External"/><Relationship Id="rId47" Type="http://schemas.openxmlformats.org/officeDocument/2006/relationships/hyperlink" Target="https://youtu.be/8c65xWDkBwo" TargetMode="External"/><Relationship Id="rId68" Type="http://schemas.openxmlformats.org/officeDocument/2006/relationships/hyperlink" Target="https://youtu.be/LYtxzC7NAP4" TargetMode="External"/><Relationship Id="rId89" Type="http://schemas.openxmlformats.org/officeDocument/2006/relationships/hyperlink" Target="https://youtu.be/vnXlIimJnVM" TargetMode="External"/><Relationship Id="rId112" Type="http://schemas.openxmlformats.org/officeDocument/2006/relationships/hyperlink" Target="https://youtu.be/nqOohXfiAoU" TargetMode="External"/><Relationship Id="rId133" Type="http://schemas.openxmlformats.org/officeDocument/2006/relationships/hyperlink" Target="https://drive.google.com/drive/folders/1tVttXtLim3HZ9vn_sEV5kxeNuOs1r4Ci?usp=drive_link" TargetMode="External"/><Relationship Id="rId154" Type="http://schemas.openxmlformats.org/officeDocument/2006/relationships/hyperlink" Target="https://youtu.be/aFn-hhxc_iA" TargetMode="External"/><Relationship Id="rId175" Type="http://schemas.openxmlformats.org/officeDocument/2006/relationships/hyperlink" Target="https://youtu.be/95skfr3pIoI" TargetMode="External"/><Relationship Id="rId196" Type="http://schemas.openxmlformats.org/officeDocument/2006/relationships/hyperlink" Target="https://youtu.be/ElSDjDYYgac" TargetMode="External"/><Relationship Id="rId200" Type="http://schemas.openxmlformats.org/officeDocument/2006/relationships/hyperlink" Target="https://youtu.be/btX2SBsAXYs" TargetMode="External"/><Relationship Id="rId16" Type="http://schemas.openxmlformats.org/officeDocument/2006/relationships/hyperlink" Target="https://youtu.be/gEOed_94evQ" TargetMode="External"/><Relationship Id="rId221" Type="http://schemas.openxmlformats.org/officeDocument/2006/relationships/hyperlink" Target="https://youtu.be/FuPOibVdnLc" TargetMode="External"/><Relationship Id="rId37" Type="http://schemas.openxmlformats.org/officeDocument/2006/relationships/hyperlink" Target="https://youtu.be/lGiDr6kpReg" TargetMode="External"/><Relationship Id="rId58" Type="http://schemas.openxmlformats.org/officeDocument/2006/relationships/hyperlink" Target="https://youtu.be/9Lu-iAlWs4Q" TargetMode="External"/><Relationship Id="rId79" Type="http://schemas.openxmlformats.org/officeDocument/2006/relationships/hyperlink" Target="https://youtu.be/IHgSqg6kIew" TargetMode="External"/><Relationship Id="rId102" Type="http://schemas.openxmlformats.org/officeDocument/2006/relationships/hyperlink" Target="https://youtu.be/ViBdL9QiaBA" TargetMode="External"/><Relationship Id="rId123" Type="http://schemas.openxmlformats.org/officeDocument/2006/relationships/hyperlink" Target="https://drive.google.com/drive/folders/1tVttXtLim3HZ9vn_sEV5kxeNuOs1r4Ci?usp=drive_link" TargetMode="External"/><Relationship Id="rId144" Type="http://schemas.openxmlformats.org/officeDocument/2006/relationships/hyperlink" Target="https://youtu.be/cvZd1ZzbsxU" TargetMode="External"/><Relationship Id="rId90" Type="http://schemas.openxmlformats.org/officeDocument/2006/relationships/hyperlink" Target="https://youtu.be/yRZqk-Ua6Zw" TargetMode="External"/><Relationship Id="rId165" Type="http://schemas.openxmlformats.org/officeDocument/2006/relationships/hyperlink" Target="https://youtu.be/WCzLIdLt53E" TargetMode="External"/><Relationship Id="rId186" Type="http://schemas.openxmlformats.org/officeDocument/2006/relationships/hyperlink" Target="https://youtu.be/l8IgDrpuY7U" TargetMode="External"/><Relationship Id="rId211" Type="http://schemas.openxmlformats.org/officeDocument/2006/relationships/hyperlink" Target="https://youtu.be/xaKUkUGJ2cU" TargetMode="External"/><Relationship Id="rId27" Type="http://schemas.openxmlformats.org/officeDocument/2006/relationships/hyperlink" Target="https://youtu.be/o2_VC2h2cmw" TargetMode="External"/><Relationship Id="rId48" Type="http://schemas.openxmlformats.org/officeDocument/2006/relationships/hyperlink" Target="https://youtu.be/v4P_zDx62L0" TargetMode="External"/><Relationship Id="rId69" Type="http://schemas.openxmlformats.org/officeDocument/2006/relationships/hyperlink" Target="https://youtu.be/HEw2qui9gXc" TargetMode="External"/><Relationship Id="rId113" Type="http://schemas.openxmlformats.org/officeDocument/2006/relationships/hyperlink" Target="https://drive.google.com/drive/folders/1tVttXtLim3HZ9vn_sEV5kxeNuOs1r4Ci?usp=drive_link" TargetMode="External"/><Relationship Id="rId134" Type="http://schemas.openxmlformats.org/officeDocument/2006/relationships/hyperlink" Target="https://drive.google.com/drive/folders/1tVttXtLim3HZ9vn_sEV5kxeNuOs1r4Ci?usp=drive_link" TargetMode="External"/><Relationship Id="rId80" Type="http://schemas.openxmlformats.org/officeDocument/2006/relationships/hyperlink" Target="https://youtu.be/tkyqf8JuIww" TargetMode="External"/><Relationship Id="rId155" Type="http://schemas.openxmlformats.org/officeDocument/2006/relationships/hyperlink" Target="https://youtu.be/XodsVCDlRYk" TargetMode="External"/><Relationship Id="rId176" Type="http://schemas.openxmlformats.org/officeDocument/2006/relationships/hyperlink" Target="https://youtu.be/BSaH7pdN5ck" TargetMode="External"/><Relationship Id="rId197" Type="http://schemas.openxmlformats.org/officeDocument/2006/relationships/hyperlink" Target="https://youtu.be/FeZLU4tXPbI" TargetMode="External"/><Relationship Id="rId201" Type="http://schemas.openxmlformats.org/officeDocument/2006/relationships/hyperlink" Target="https://youtu.be/FNagU3R5neA" TargetMode="External"/><Relationship Id="rId222" Type="http://schemas.openxmlformats.org/officeDocument/2006/relationships/hyperlink" Target="https://youtu.be/v8J-RVvh2GY" TargetMode="External"/><Relationship Id="rId17" Type="http://schemas.openxmlformats.org/officeDocument/2006/relationships/hyperlink" Target="https://youtu.be/VOwkuc1B5Oc" TargetMode="External"/><Relationship Id="rId38" Type="http://schemas.openxmlformats.org/officeDocument/2006/relationships/hyperlink" Target="https://youtu.be/WUy1ZwXVQNc" TargetMode="External"/><Relationship Id="rId59" Type="http://schemas.openxmlformats.org/officeDocument/2006/relationships/hyperlink" Target="https://youtu.be/vU3qKI6-jhw" TargetMode="External"/><Relationship Id="rId103" Type="http://schemas.openxmlformats.org/officeDocument/2006/relationships/hyperlink" Target="https://youtu.be/1F44bW2j6wI" TargetMode="External"/><Relationship Id="rId124" Type="http://schemas.openxmlformats.org/officeDocument/2006/relationships/hyperlink" Target="https://drive.google.com/drive/folders/1tVttXtLim3HZ9vn_sEV5kxeNuOs1r4Ci?usp=drive_link" TargetMode="External"/><Relationship Id="rId70" Type="http://schemas.openxmlformats.org/officeDocument/2006/relationships/hyperlink" Target="https://youtu.be/D4LFTdym7Oc" TargetMode="External"/><Relationship Id="rId91" Type="http://schemas.openxmlformats.org/officeDocument/2006/relationships/hyperlink" Target="https://youtu.be/W2uEJeAbIn4" TargetMode="External"/><Relationship Id="rId145" Type="http://schemas.openxmlformats.org/officeDocument/2006/relationships/hyperlink" Target="https://youtu.be/7Dff1pNo7Fw" TargetMode="External"/><Relationship Id="rId166" Type="http://schemas.openxmlformats.org/officeDocument/2006/relationships/hyperlink" Target="https://youtu.be/OqY0qfIEme8" TargetMode="External"/><Relationship Id="rId187" Type="http://schemas.openxmlformats.org/officeDocument/2006/relationships/hyperlink" Target="https://youtu.be/8nKxxUqPmVY" TargetMode="External"/><Relationship Id="rId1" Type="http://schemas.openxmlformats.org/officeDocument/2006/relationships/hyperlink" Target="https://drive.google.com/drive/folders/1Jyaib6Yb7WQwX97g2zgoITQeHqKzJTpO?usp=drive_link" TargetMode="External"/><Relationship Id="rId212" Type="http://schemas.openxmlformats.org/officeDocument/2006/relationships/hyperlink" Target="https://youtu.be/DkrL5fh7hcM" TargetMode="External"/><Relationship Id="rId28" Type="http://schemas.openxmlformats.org/officeDocument/2006/relationships/hyperlink" Target="https://youtu.be/T3sIi8QeoSM" TargetMode="External"/><Relationship Id="rId49" Type="http://schemas.openxmlformats.org/officeDocument/2006/relationships/hyperlink" Target="https://youtu.be/g-Q8j2aY-iw" TargetMode="External"/><Relationship Id="rId114" Type="http://schemas.openxmlformats.org/officeDocument/2006/relationships/hyperlink" Target="https://drive.google.com/drive/folders/1tVttXtLim3HZ9vn_sEV5kxeNuOs1r4Ci?usp=drive_link" TargetMode="External"/><Relationship Id="rId60" Type="http://schemas.openxmlformats.org/officeDocument/2006/relationships/hyperlink" Target="https://youtu.be/wzZGAZ7Zv40" TargetMode="External"/><Relationship Id="rId81" Type="http://schemas.openxmlformats.org/officeDocument/2006/relationships/hyperlink" Target="https://youtu.be/JrwqwU8ZaPw" TargetMode="External"/><Relationship Id="rId135" Type="http://schemas.openxmlformats.org/officeDocument/2006/relationships/hyperlink" Target="https://drive.google.com/drive/folders/1tVttXtLim3HZ9vn_sEV5kxeNuOs1r4Ci?usp=drive_link" TargetMode="External"/><Relationship Id="rId156" Type="http://schemas.openxmlformats.org/officeDocument/2006/relationships/hyperlink" Target="https://youtu.be/ZFOG0WplJUQ" TargetMode="External"/><Relationship Id="rId177" Type="http://schemas.openxmlformats.org/officeDocument/2006/relationships/hyperlink" Target="https://youtu.be/h_LqLp8MUAY" TargetMode="External"/><Relationship Id="rId198" Type="http://schemas.openxmlformats.org/officeDocument/2006/relationships/hyperlink" Target="https://youtu.be/uWTp_3r0ouA" TargetMode="External"/><Relationship Id="rId202" Type="http://schemas.openxmlformats.org/officeDocument/2006/relationships/hyperlink" Target="https://youtu.be/-zNHk_bhgPM" TargetMode="External"/><Relationship Id="rId223" Type="http://schemas.openxmlformats.org/officeDocument/2006/relationships/hyperlink" Target="https://youtu.be/_CVq9ScSKmU" TargetMode="External"/><Relationship Id="rId18" Type="http://schemas.openxmlformats.org/officeDocument/2006/relationships/hyperlink" Target="https://youtu.be/q60R3wq810o" TargetMode="External"/><Relationship Id="rId39" Type="http://schemas.openxmlformats.org/officeDocument/2006/relationships/hyperlink" Target="https://drive.google.com/drive/folders/14IyEohbTmMVV7vGX5d85jZjcjVeV3n0P?usp=drive_link" TargetMode="External"/><Relationship Id="rId50" Type="http://schemas.openxmlformats.org/officeDocument/2006/relationships/hyperlink" Target="https://youtu.be/BlR0ANkVvX0" TargetMode="External"/><Relationship Id="rId104" Type="http://schemas.openxmlformats.org/officeDocument/2006/relationships/hyperlink" Target="https://youtu.be/l96GW8I06bM" TargetMode="External"/><Relationship Id="rId125" Type="http://schemas.openxmlformats.org/officeDocument/2006/relationships/hyperlink" Target="https://drive.google.com/drive/folders/1tVttXtLim3HZ9vn_sEV5kxeNuOs1r4Ci?usp=drive_link" TargetMode="External"/><Relationship Id="rId146" Type="http://schemas.openxmlformats.org/officeDocument/2006/relationships/hyperlink" Target="https://youtu.be/5I71D3_G3-M" TargetMode="External"/><Relationship Id="rId167" Type="http://schemas.openxmlformats.org/officeDocument/2006/relationships/hyperlink" Target="https://youtu.be/8YhRy_E6rvE" TargetMode="External"/><Relationship Id="rId188" Type="http://schemas.openxmlformats.org/officeDocument/2006/relationships/hyperlink" Target="https://youtu.be/UCGXsP10rBw" TargetMode="External"/><Relationship Id="rId71" Type="http://schemas.openxmlformats.org/officeDocument/2006/relationships/hyperlink" Target="https://youtu.be/9UctkXhcZM8" TargetMode="External"/><Relationship Id="rId92" Type="http://schemas.openxmlformats.org/officeDocument/2006/relationships/hyperlink" Target="https://youtu.be/4KU7Whs3ZyE" TargetMode="External"/><Relationship Id="rId213" Type="http://schemas.openxmlformats.org/officeDocument/2006/relationships/hyperlink" Target="https://youtu.be/mE9cTnextyQ" TargetMode="External"/><Relationship Id="rId2" Type="http://schemas.openxmlformats.org/officeDocument/2006/relationships/hyperlink" Target="https://drive.google.com/drive/folders/1Jyaib6Yb7WQwX97g2zgoITQeHqKzJTpO?usp=drive_link" TargetMode="External"/><Relationship Id="rId29" Type="http://schemas.openxmlformats.org/officeDocument/2006/relationships/hyperlink" Target="https://youtu.be/XyPoEYNVxcE" TargetMode="External"/><Relationship Id="rId40" Type="http://schemas.openxmlformats.org/officeDocument/2006/relationships/hyperlink" Target="https://drive.google.com/drive/folders/14IyEohbTmMVV7vGX5d85jZjcjVeV3n0P?usp=drive_link" TargetMode="External"/><Relationship Id="rId115" Type="http://schemas.openxmlformats.org/officeDocument/2006/relationships/hyperlink" Target="https://drive.google.com/drive/folders/1tVttXtLim3HZ9vn_sEV5kxeNuOs1r4Ci?usp=drive_link" TargetMode="External"/><Relationship Id="rId136" Type="http://schemas.openxmlformats.org/officeDocument/2006/relationships/hyperlink" Target="https://drive.google.com/drive/folders/1PoLWez6WBM_3jdyyct8HUUMyUV2BmWqY?usp=drive_link" TargetMode="External"/><Relationship Id="rId157" Type="http://schemas.openxmlformats.org/officeDocument/2006/relationships/hyperlink" Target="https://youtu.be/ydWxUvEIldc" TargetMode="External"/><Relationship Id="rId178" Type="http://schemas.openxmlformats.org/officeDocument/2006/relationships/hyperlink" Target="https://youtu.be/R8J4iTn3f08" TargetMode="External"/><Relationship Id="rId61" Type="http://schemas.openxmlformats.org/officeDocument/2006/relationships/hyperlink" Target="https://youtu.be/bODgK7Cs5og" TargetMode="External"/><Relationship Id="rId82" Type="http://schemas.openxmlformats.org/officeDocument/2006/relationships/hyperlink" Target="https://youtu.be/7FXRwxJFj_E" TargetMode="External"/><Relationship Id="rId199" Type="http://schemas.openxmlformats.org/officeDocument/2006/relationships/hyperlink" Target="https://youtu.be/5asaw7sTyXo" TargetMode="External"/><Relationship Id="rId203" Type="http://schemas.openxmlformats.org/officeDocument/2006/relationships/hyperlink" Target="https://youtu.be/kvD7EzUASyw" TargetMode="External"/><Relationship Id="rId19" Type="http://schemas.openxmlformats.org/officeDocument/2006/relationships/hyperlink" Target="https://youtu.be/ca5XlOV1KkQ" TargetMode="External"/><Relationship Id="rId224" Type="http://schemas.openxmlformats.org/officeDocument/2006/relationships/hyperlink" Target="https://youtu.be/8SFxIDhYkeY" TargetMode="External"/><Relationship Id="rId30" Type="http://schemas.openxmlformats.org/officeDocument/2006/relationships/hyperlink" Target="https://youtu.be/yXEM6LxhHOc" TargetMode="External"/><Relationship Id="rId105" Type="http://schemas.openxmlformats.org/officeDocument/2006/relationships/hyperlink" Target="https://youtu.be/Fj1v8GBz0vw" TargetMode="External"/><Relationship Id="rId126" Type="http://schemas.openxmlformats.org/officeDocument/2006/relationships/hyperlink" Target="https://drive.google.com/drive/folders/1tVttXtLim3HZ9vn_sEV5kxeNuOs1r4Ci?usp=drive_link" TargetMode="External"/><Relationship Id="rId147" Type="http://schemas.openxmlformats.org/officeDocument/2006/relationships/hyperlink" Target="https://youtu.be/Yla5D9HkgAU" TargetMode="External"/><Relationship Id="rId168" Type="http://schemas.openxmlformats.org/officeDocument/2006/relationships/hyperlink" Target="https://youtu.be/cK1c2BgzBHk" TargetMode="External"/><Relationship Id="rId51" Type="http://schemas.openxmlformats.org/officeDocument/2006/relationships/hyperlink" Target="https://youtu.be/FnPBZu_lvp4" TargetMode="External"/><Relationship Id="rId72" Type="http://schemas.openxmlformats.org/officeDocument/2006/relationships/hyperlink" Target="https://youtu.be/TXqfsocBNUg" TargetMode="External"/><Relationship Id="rId93" Type="http://schemas.openxmlformats.org/officeDocument/2006/relationships/hyperlink" Target="https://youtu.be/Ts3tDTsDuYk" TargetMode="External"/><Relationship Id="rId189" Type="http://schemas.openxmlformats.org/officeDocument/2006/relationships/hyperlink" Target="https://youtu.be/u-RxxfnEIQ8"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youtu.be/XpbqBBJcgtc" TargetMode="External"/><Relationship Id="rId21" Type="http://schemas.openxmlformats.org/officeDocument/2006/relationships/hyperlink" Target="https://drive.google.com/drive/folders/1SuXTp1TIaoV0vd5esI1cr3hcrX9mw5c6?usp=drive_link" TargetMode="External"/><Relationship Id="rId42" Type="http://schemas.openxmlformats.org/officeDocument/2006/relationships/hyperlink" Target="https://drive.google.com/drive/folders/1aMVbN2oXUy0VX5gTDP8-E9KI9nedemse?usp=drive_link" TargetMode="External"/><Relationship Id="rId63" Type="http://schemas.openxmlformats.org/officeDocument/2006/relationships/hyperlink" Target="https://youtu.be/KlQLQ3i32jA" TargetMode="External"/><Relationship Id="rId84" Type="http://schemas.openxmlformats.org/officeDocument/2006/relationships/hyperlink" Target="https://youtu.be/Oxw7icdPHAM" TargetMode="External"/><Relationship Id="rId138" Type="http://schemas.openxmlformats.org/officeDocument/2006/relationships/hyperlink" Target="https://youtu.be/udmTkxxDgko" TargetMode="External"/><Relationship Id="rId159" Type="http://schemas.openxmlformats.org/officeDocument/2006/relationships/hyperlink" Target="https://youtu.be/46hO-JlDx98" TargetMode="External"/><Relationship Id="rId170" Type="http://schemas.openxmlformats.org/officeDocument/2006/relationships/hyperlink" Target="https://youtu.be/Jvj7DPb081o" TargetMode="External"/><Relationship Id="rId191" Type="http://schemas.openxmlformats.org/officeDocument/2006/relationships/hyperlink" Target="https://youtu.be/4MyqzWGmQLw" TargetMode="External"/><Relationship Id="rId205" Type="http://schemas.openxmlformats.org/officeDocument/2006/relationships/hyperlink" Target="https://youtu.be/DPyCuyDJ35Q" TargetMode="External"/><Relationship Id="rId226" Type="http://schemas.openxmlformats.org/officeDocument/2006/relationships/hyperlink" Target="https://youtu.be/qmjAfSOdpHg" TargetMode="External"/><Relationship Id="rId247" Type="http://schemas.openxmlformats.org/officeDocument/2006/relationships/hyperlink" Target="https://youtu.be/rSDu9psovvA" TargetMode="External"/><Relationship Id="rId107" Type="http://schemas.openxmlformats.org/officeDocument/2006/relationships/hyperlink" Target="https://youtu.be/TnEP3XVrCng" TargetMode="External"/><Relationship Id="rId11" Type="http://schemas.openxmlformats.org/officeDocument/2006/relationships/hyperlink" Target="https://drive.google.com/drive/folders/1rEf3oR2a4bdCY2NYMaL5D6Fp_CPLJL_B?usp=drive_link" TargetMode="External"/><Relationship Id="rId32" Type="http://schemas.openxmlformats.org/officeDocument/2006/relationships/hyperlink" Target="https://drive.google.com/drive/folders/1SuXTp1TIaoV0vd5esI1cr3hcrX9mw5c6?usp=drive_link" TargetMode="External"/><Relationship Id="rId53" Type="http://schemas.openxmlformats.org/officeDocument/2006/relationships/hyperlink" Target="https://drive.google.com/drive/folders/1SuXTp1TIaoV0vd5esI1cr3hcrX9mw5c6?usp=drive_link" TargetMode="External"/><Relationship Id="rId74" Type="http://schemas.openxmlformats.org/officeDocument/2006/relationships/hyperlink" Target="https://youtu.be/YkgrcqOBMIY" TargetMode="External"/><Relationship Id="rId128" Type="http://schemas.openxmlformats.org/officeDocument/2006/relationships/hyperlink" Target="https://youtu.be/hd6Iy_IMr_4" TargetMode="External"/><Relationship Id="rId149" Type="http://schemas.openxmlformats.org/officeDocument/2006/relationships/hyperlink" Target="https://youtu.be/fx7R1PJDZwA" TargetMode="External"/><Relationship Id="rId5" Type="http://schemas.openxmlformats.org/officeDocument/2006/relationships/hyperlink" Target="https://drive.google.com/drive/folders/1rEf3oR2a4bdCY2NYMaL5D6Fp_CPLJL_B?usp=drive_link" TargetMode="External"/><Relationship Id="rId95" Type="http://schemas.openxmlformats.org/officeDocument/2006/relationships/hyperlink" Target="https://youtu.be/Eth0JLP9H94" TargetMode="External"/><Relationship Id="rId160" Type="http://schemas.openxmlformats.org/officeDocument/2006/relationships/hyperlink" Target="https://youtu.be/fhJbsdLJepo" TargetMode="External"/><Relationship Id="rId181" Type="http://schemas.openxmlformats.org/officeDocument/2006/relationships/hyperlink" Target="https://youtu.be/9_CtO6w78Uc" TargetMode="External"/><Relationship Id="rId216" Type="http://schemas.openxmlformats.org/officeDocument/2006/relationships/hyperlink" Target="https://youtu.be/UdjoT95chbQ" TargetMode="External"/><Relationship Id="rId237" Type="http://schemas.openxmlformats.org/officeDocument/2006/relationships/hyperlink" Target="https://youtu.be/udkFm4MxqRE" TargetMode="External"/><Relationship Id="rId258" Type="http://schemas.microsoft.com/office/2017/10/relationships/threadedComment" Target="../threadedComments/threadedComment4.xml"/><Relationship Id="rId22" Type="http://schemas.openxmlformats.org/officeDocument/2006/relationships/hyperlink" Target="https://drive.google.com/drive/folders/1rEf3oR2a4bdCY2NYMaL5D6Fp_CPLJL_B?usp=drive_link" TargetMode="External"/><Relationship Id="rId43" Type="http://schemas.openxmlformats.org/officeDocument/2006/relationships/hyperlink" Target="https://drive.google.com/drive/folders/1aMVbN2oXUy0VX5gTDP8-E9KI9nedemse?usp=drive_link" TargetMode="External"/><Relationship Id="rId64" Type="http://schemas.openxmlformats.org/officeDocument/2006/relationships/hyperlink" Target="https://youtu.be/YNPE-qcES3w" TargetMode="External"/><Relationship Id="rId118" Type="http://schemas.openxmlformats.org/officeDocument/2006/relationships/hyperlink" Target="https://youtu.be/JVoNCsjCclM" TargetMode="External"/><Relationship Id="rId139" Type="http://schemas.openxmlformats.org/officeDocument/2006/relationships/hyperlink" Target="https://youtu.be/bgRNrHj2Uqs" TargetMode="External"/><Relationship Id="rId85" Type="http://schemas.openxmlformats.org/officeDocument/2006/relationships/hyperlink" Target="https://youtu.be/za59F7RGsfw" TargetMode="External"/><Relationship Id="rId150" Type="http://schemas.openxmlformats.org/officeDocument/2006/relationships/hyperlink" Target="https://youtu.be/VJ3DD5oTUd4" TargetMode="External"/><Relationship Id="rId171" Type="http://schemas.openxmlformats.org/officeDocument/2006/relationships/hyperlink" Target="https://youtu.be/I1NmnytpXAM" TargetMode="External"/><Relationship Id="rId192" Type="http://schemas.openxmlformats.org/officeDocument/2006/relationships/hyperlink" Target="https://youtu.be/KsE7Zf43AKs" TargetMode="External"/><Relationship Id="rId206" Type="http://schemas.openxmlformats.org/officeDocument/2006/relationships/hyperlink" Target="https://youtu.be/iVnxx-37lfg" TargetMode="External"/><Relationship Id="rId227" Type="http://schemas.openxmlformats.org/officeDocument/2006/relationships/hyperlink" Target="https://youtu.be/urNzdhVwQcQ" TargetMode="External"/><Relationship Id="rId248" Type="http://schemas.openxmlformats.org/officeDocument/2006/relationships/hyperlink" Target="https://youtu.be/eXQkTg2yu1E" TargetMode="External"/><Relationship Id="rId12" Type="http://schemas.openxmlformats.org/officeDocument/2006/relationships/hyperlink" Target="https://drive.google.com/drive/folders/1rEf3oR2a4bdCY2NYMaL5D6Fp_CPLJL_B?usp=drive_link" TargetMode="External"/><Relationship Id="rId33" Type="http://schemas.openxmlformats.org/officeDocument/2006/relationships/hyperlink" Target="https://drive.google.com/drive/folders/1SuXTp1TIaoV0vd5esI1cr3hcrX9mw5c6?usp=drive_link" TargetMode="External"/><Relationship Id="rId108" Type="http://schemas.openxmlformats.org/officeDocument/2006/relationships/hyperlink" Target="https://youtu.be/UApdWR4l1yk" TargetMode="External"/><Relationship Id="rId129" Type="http://schemas.openxmlformats.org/officeDocument/2006/relationships/hyperlink" Target="https://youtu.be/9D6F4wHKKQI" TargetMode="External"/><Relationship Id="rId54" Type="http://schemas.openxmlformats.org/officeDocument/2006/relationships/hyperlink" Target="https://drive.google.com/drive/folders/1rEf3oR2a4bdCY2NYMaL5D6Fp_CPLJL_B?usp=drive_link" TargetMode="External"/><Relationship Id="rId75" Type="http://schemas.openxmlformats.org/officeDocument/2006/relationships/hyperlink" Target="https://youtu.be/DnuHFrBch8M" TargetMode="External"/><Relationship Id="rId96" Type="http://schemas.openxmlformats.org/officeDocument/2006/relationships/hyperlink" Target="https://youtu.be/150ymqSZznc" TargetMode="External"/><Relationship Id="rId140" Type="http://schemas.openxmlformats.org/officeDocument/2006/relationships/hyperlink" Target="https://youtu.be/r_LbpEx2C94" TargetMode="External"/><Relationship Id="rId161" Type="http://schemas.openxmlformats.org/officeDocument/2006/relationships/hyperlink" Target="https://youtu.be/AchajPhKuQc" TargetMode="External"/><Relationship Id="rId182" Type="http://schemas.openxmlformats.org/officeDocument/2006/relationships/hyperlink" Target="https://youtu.be/vYZs32RQI64" TargetMode="External"/><Relationship Id="rId217" Type="http://schemas.openxmlformats.org/officeDocument/2006/relationships/hyperlink" Target="https://youtu.be/qLvYNsAE78E" TargetMode="External"/><Relationship Id="rId6" Type="http://schemas.openxmlformats.org/officeDocument/2006/relationships/hyperlink" Target="https://drive.google.com/drive/folders/1rEf3oR2a4bdCY2NYMaL5D6Fp_CPLJL_B?usp=drive_link" TargetMode="External"/><Relationship Id="rId238" Type="http://schemas.openxmlformats.org/officeDocument/2006/relationships/hyperlink" Target="https://youtu.be/PNG0GLqaNPU" TargetMode="External"/><Relationship Id="rId259" Type="http://schemas.microsoft.com/office/2019/04/relationships/documenttask" Target="../documenttasks/documenttask3.xml"/><Relationship Id="rId23" Type="http://schemas.openxmlformats.org/officeDocument/2006/relationships/hyperlink" Target="https://drive.google.com/drive/folders/1rEf3oR2a4bdCY2NYMaL5D6Fp_CPLJL_B?usp=drive_link" TargetMode="External"/><Relationship Id="rId119" Type="http://schemas.openxmlformats.org/officeDocument/2006/relationships/hyperlink" Target="https://youtu.be/AX5xdl6Or58" TargetMode="External"/><Relationship Id="rId44" Type="http://schemas.openxmlformats.org/officeDocument/2006/relationships/hyperlink" Target="https://drive.google.com/drive/folders/1aMVbN2oXUy0VX5gTDP8-E9KI9nedemse?usp=drive_link" TargetMode="External"/><Relationship Id="rId65" Type="http://schemas.openxmlformats.org/officeDocument/2006/relationships/hyperlink" Target="https://youtu.be/wZY8SuHna9U" TargetMode="External"/><Relationship Id="rId86" Type="http://schemas.openxmlformats.org/officeDocument/2006/relationships/hyperlink" Target="https://youtu.be/RQhBQByruPk" TargetMode="External"/><Relationship Id="rId130" Type="http://schemas.openxmlformats.org/officeDocument/2006/relationships/hyperlink" Target="https://youtu.be/b-UbDndvw4s" TargetMode="External"/><Relationship Id="rId151" Type="http://schemas.openxmlformats.org/officeDocument/2006/relationships/hyperlink" Target="https://youtu.be/kYxUaizq8-o" TargetMode="External"/><Relationship Id="rId172" Type="http://schemas.openxmlformats.org/officeDocument/2006/relationships/hyperlink" Target="https://youtu.be/GWV0anu1knE" TargetMode="External"/><Relationship Id="rId193" Type="http://schemas.openxmlformats.org/officeDocument/2006/relationships/hyperlink" Target="https://youtu.be/gC-5amhZQU4" TargetMode="External"/><Relationship Id="rId207" Type="http://schemas.openxmlformats.org/officeDocument/2006/relationships/hyperlink" Target="https://youtu.be/hFwGKXwiRTI" TargetMode="External"/><Relationship Id="rId228" Type="http://schemas.openxmlformats.org/officeDocument/2006/relationships/hyperlink" Target="https://youtu.be/_9uVQwn7PZM" TargetMode="External"/><Relationship Id="rId249" Type="http://schemas.openxmlformats.org/officeDocument/2006/relationships/hyperlink" Target="https://youtu.be/ZWNDyQO3Urw" TargetMode="External"/><Relationship Id="rId13" Type="http://schemas.openxmlformats.org/officeDocument/2006/relationships/hyperlink" Target="https://drive.google.com/drive/folders/1rEf3oR2a4bdCY2NYMaL5D6Fp_CPLJL_B?usp=drive_link" TargetMode="External"/><Relationship Id="rId109" Type="http://schemas.openxmlformats.org/officeDocument/2006/relationships/hyperlink" Target="https://youtu.be/QXMkFpu1pFQ" TargetMode="External"/><Relationship Id="rId34" Type="http://schemas.openxmlformats.org/officeDocument/2006/relationships/hyperlink" Target="https://drive.google.com/drive/folders/1SuXTp1TIaoV0vd5esI1cr3hcrX9mw5c6?usp=drive_link" TargetMode="External"/><Relationship Id="rId55" Type="http://schemas.openxmlformats.org/officeDocument/2006/relationships/hyperlink" Target="https://drive.google.com/drive/folders/1SuXTp1TIaoV0vd5esI1cr3hcrX9mw5c6?usp=drive_link" TargetMode="External"/><Relationship Id="rId76" Type="http://schemas.openxmlformats.org/officeDocument/2006/relationships/hyperlink" Target="https://youtu.be/ZnXspO4ylh4" TargetMode="External"/><Relationship Id="rId97" Type="http://schemas.openxmlformats.org/officeDocument/2006/relationships/hyperlink" Target="https://youtu.be/RewLQeymic4" TargetMode="External"/><Relationship Id="rId120" Type="http://schemas.openxmlformats.org/officeDocument/2006/relationships/hyperlink" Target="https://youtu.be/UP2KhqHWJig" TargetMode="External"/><Relationship Id="rId141" Type="http://schemas.openxmlformats.org/officeDocument/2006/relationships/hyperlink" Target="https://youtu.be/-TAQZzXTL1I" TargetMode="External"/><Relationship Id="rId7" Type="http://schemas.openxmlformats.org/officeDocument/2006/relationships/hyperlink" Target="https://drive.google.com/drive/folders/1rEf3oR2a4bdCY2NYMaL5D6Fp_CPLJL_B?usp=drive_link" TargetMode="External"/><Relationship Id="rId162" Type="http://schemas.openxmlformats.org/officeDocument/2006/relationships/hyperlink" Target="https://drive.google.com/drive/folders/1GCDZCoEbAgYbcj6nWExBl_A4N3_6owE6?usp=sharing" TargetMode="External"/><Relationship Id="rId183" Type="http://schemas.openxmlformats.org/officeDocument/2006/relationships/hyperlink" Target="https://youtu.be/EGKARAeSifQ" TargetMode="External"/><Relationship Id="rId218" Type="http://schemas.openxmlformats.org/officeDocument/2006/relationships/hyperlink" Target="https://youtu.be/ONWkXZCMgDg" TargetMode="External"/><Relationship Id="rId239" Type="http://schemas.openxmlformats.org/officeDocument/2006/relationships/hyperlink" Target="https://youtu.be/hgKN8EsZyhM" TargetMode="External"/><Relationship Id="rId250" Type="http://schemas.openxmlformats.org/officeDocument/2006/relationships/hyperlink" Target="https://youtu.be/oS-NieQXpo0" TargetMode="External"/><Relationship Id="rId24" Type="http://schemas.openxmlformats.org/officeDocument/2006/relationships/hyperlink" Target="https://drive.google.com/drive/folders/1rEf3oR2a4bdCY2NYMaL5D6Fp_CPLJL_B?usp=drive_link" TargetMode="External"/><Relationship Id="rId45" Type="http://schemas.openxmlformats.org/officeDocument/2006/relationships/hyperlink" Target="https://drive.google.com/drive/folders/1aMVbN2oXUy0VX5gTDP8-E9KI9nedemse?usp=drive_link" TargetMode="External"/><Relationship Id="rId66" Type="http://schemas.openxmlformats.org/officeDocument/2006/relationships/hyperlink" Target="https://youtu.be/8Wd9GAcCaSs" TargetMode="External"/><Relationship Id="rId87" Type="http://schemas.openxmlformats.org/officeDocument/2006/relationships/hyperlink" Target="https://youtu.be/pnP2jg416Ak" TargetMode="External"/><Relationship Id="rId110" Type="http://schemas.openxmlformats.org/officeDocument/2006/relationships/hyperlink" Target="https://youtu.be/608bnhJaJ6w" TargetMode="External"/><Relationship Id="rId131" Type="http://schemas.openxmlformats.org/officeDocument/2006/relationships/hyperlink" Target="https://youtu.be/iJQ3RSxvq7Y" TargetMode="External"/><Relationship Id="rId152" Type="http://schemas.openxmlformats.org/officeDocument/2006/relationships/hyperlink" Target="https://youtu.be/clh66ua5PkI" TargetMode="External"/><Relationship Id="rId173" Type="http://schemas.openxmlformats.org/officeDocument/2006/relationships/hyperlink" Target="https://youtu.be/WAHeVm3OA6g" TargetMode="External"/><Relationship Id="rId194" Type="http://schemas.openxmlformats.org/officeDocument/2006/relationships/hyperlink" Target="https://youtu.be/Gnp3p13y3OE" TargetMode="External"/><Relationship Id="rId208" Type="http://schemas.openxmlformats.org/officeDocument/2006/relationships/hyperlink" Target="https://youtu.be/a2qh_prIjag" TargetMode="External"/><Relationship Id="rId229" Type="http://schemas.openxmlformats.org/officeDocument/2006/relationships/hyperlink" Target="https://youtu.be/yITmFAL5pm4" TargetMode="External"/><Relationship Id="rId240" Type="http://schemas.openxmlformats.org/officeDocument/2006/relationships/hyperlink" Target="https://youtu.be/AqsiIuHEq-Q" TargetMode="External"/><Relationship Id="rId14" Type="http://schemas.openxmlformats.org/officeDocument/2006/relationships/hyperlink" Target="https://drive.google.com/drive/folders/1rEf3oR2a4bdCY2NYMaL5D6Fp_CPLJL_B?usp=drive_link" TargetMode="External"/><Relationship Id="rId35" Type="http://schemas.openxmlformats.org/officeDocument/2006/relationships/hyperlink" Target="https://drive.google.com/drive/folders/1aMVbN2oXUy0VX5gTDP8-E9KI9nedemse?usp=drive_link" TargetMode="External"/><Relationship Id="rId56" Type="http://schemas.openxmlformats.org/officeDocument/2006/relationships/hyperlink" Target="https://drive.google.com/drive/folders/1SuXTp1TIaoV0vd5esI1cr3hcrX9mw5c6?usp=drive_link" TargetMode="External"/><Relationship Id="rId77" Type="http://schemas.openxmlformats.org/officeDocument/2006/relationships/hyperlink" Target="https://youtu.be/RBTterLVEeY" TargetMode="External"/><Relationship Id="rId100" Type="http://schemas.openxmlformats.org/officeDocument/2006/relationships/hyperlink" Target="https://youtu.be/O1MaPB3X9bY" TargetMode="External"/><Relationship Id="rId8" Type="http://schemas.openxmlformats.org/officeDocument/2006/relationships/hyperlink" Target="https://drive.google.com/drive/folders/1rEf3oR2a4bdCY2NYMaL5D6Fp_CPLJL_B?usp=drive_link" TargetMode="External"/><Relationship Id="rId98" Type="http://schemas.openxmlformats.org/officeDocument/2006/relationships/hyperlink" Target="https://youtu.be/jFoYx7-iBSo" TargetMode="External"/><Relationship Id="rId121" Type="http://schemas.openxmlformats.org/officeDocument/2006/relationships/hyperlink" Target="https://youtu.be/EdVpjYWVb3g" TargetMode="External"/><Relationship Id="rId142" Type="http://schemas.openxmlformats.org/officeDocument/2006/relationships/hyperlink" Target="https://youtu.be/3nTV9ynHnNk" TargetMode="External"/><Relationship Id="rId163" Type="http://schemas.openxmlformats.org/officeDocument/2006/relationships/hyperlink" Target="https://drive.google.com/drive/folders/1GCDZCoEbAgYbcj6nWExBl_A4N3_6owE6?usp=sharing" TargetMode="External"/><Relationship Id="rId184" Type="http://schemas.openxmlformats.org/officeDocument/2006/relationships/hyperlink" Target="https://youtu.be/BfmK_1sWPi4" TargetMode="External"/><Relationship Id="rId219" Type="http://schemas.openxmlformats.org/officeDocument/2006/relationships/hyperlink" Target="https://youtu.be/NcPJ-N-Q_X8" TargetMode="External"/><Relationship Id="rId230" Type="http://schemas.openxmlformats.org/officeDocument/2006/relationships/hyperlink" Target="https://youtu.be/pNjnHr9kV6E" TargetMode="External"/><Relationship Id="rId251" Type="http://schemas.openxmlformats.org/officeDocument/2006/relationships/hyperlink" Target="https://youtu.be/-vY3zo9m77E" TargetMode="External"/><Relationship Id="rId25" Type="http://schemas.openxmlformats.org/officeDocument/2006/relationships/hyperlink" Target="https://drive.google.com/drive/folders/1rEf3oR2a4bdCY2NYMaL5D6Fp_CPLJL_B?usp=drive_link" TargetMode="External"/><Relationship Id="rId46" Type="http://schemas.openxmlformats.org/officeDocument/2006/relationships/hyperlink" Target="https://drive.google.com/drive/folders/1aMVbN2oXUy0VX5gTDP8-E9KI9nedemse?usp=drive_link" TargetMode="External"/><Relationship Id="rId67" Type="http://schemas.openxmlformats.org/officeDocument/2006/relationships/hyperlink" Target="https://youtu.be/uwk_lZWa8no" TargetMode="External"/><Relationship Id="rId88" Type="http://schemas.openxmlformats.org/officeDocument/2006/relationships/hyperlink" Target="https://youtu.be/uab5s1Swj2w" TargetMode="External"/><Relationship Id="rId111" Type="http://schemas.openxmlformats.org/officeDocument/2006/relationships/hyperlink" Target="https://youtu.be/c0uKGP3AbtM" TargetMode="External"/><Relationship Id="rId132" Type="http://schemas.openxmlformats.org/officeDocument/2006/relationships/hyperlink" Target="https://youtu.be/Xm-SYwd0QKc" TargetMode="External"/><Relationship Id="rId153" Type="http://schemas.openxmlformats.org/officeDocument/2006/relationships/hyperlink" Target="https://youtu.be/zTceCQe6JUs" TargetMode="External"/><Relationship Id="rId174" Type="http://schemas.openxmlformats.org/officeDocument/2006/relationships/hyperlink" Target="https://youtu.be/mi2nl3VEAcY" TargetMode="External"/><Relationship Id="rId195" Type="http://schemas.openxmlformats.org/officeDocument/2006/relationships/hyperlink" Target="https://youtu.be/69eB5fZCOQI" TargetMode="External"/><Relationship Id="rId209" Type="http://schemas.openxmlformats.org/officeDocument/2006/relationships/hyperlink" Target="https://youtu.be/eNWh-_4q6wA" TargetMode="External"/><Relationship Id="rId220" Type="http://schemas.openxmlformats.org/officeDocument/2006/relationships/hyperlink" Target="https://youtu.be/RBX-fIxKIzc" TargetMode="External"/><Relationship Id="rId241" Type="http://schemas.openxmlformats.org/officeDocument/2006/relationships/hyperlink" Target="https://youtu.be/SEuo-OZ9HjY" TargetMode="External"/><Relationship Id="rId15" Type="http://schemas.openxmlformats.org/officeDocument/2006/relationships/hyperlink" Target="https://drive.google.com/drive/folders/1pM35SBmOZ-WFt6lm-3tK55xYZERcNXM8?usp=drive_link" TargetMode="External"/><Relationship Id="rId36" Type="http://schemas.openxmlformats.org/officeDocument/2006/relationships/hyperlink" Target="https://drive.google.com/drive/folders/1aMVbN2oXUy0VX5gTDP8-E9KI9nedemse?usp=drive_link" TargetMode="External"/><Relationship Id="rId57" Type="http://schemas.openxmlformats.org/officeDocument/2006/relationships/hyperlink" Target="https://drive.google.com/drive/folders/1SuXTp1TIaoV0vd5esI1cr3hcrX9mw5c6?usp=drive_link" TargetMode="External"/><Relationship Id="rId78" Type="http://schemas.openxmlformats.org/officeDocument/2006/relationships/hyperlink" Target="https://youtu.be/T8xxh2mae5g" TargetMode="External"/><Relationship Id="rId99" Type="http://schemas.openxmlformats.org/officeDocument/2006/relationships/hyperlink" Target="https://youtu.be/iw3CUySM9n8" TargetMode="External"/><Relationship Id="rId101" Type="http://schemas.openxmlformats.org/officeDocument/2006/relationships/hyperlink" Target="https://youtu.be/o4_rAvsfhL4" TargetMode="External"/><Relationship Id="rId122" Type="http://schemas.openxmlformats.org/officeDocument/2006/relationships/hyperlink" Target="https://youtu.be/5h_KxtotPa4" TargetMode="External"/><Relationship Id="rId143" Type="http://schemas.openxmlformats.org/officeDocument/2006/relationships/hyperlink" Target="https://youtu.be/ltCdkGh3X-E" TargetMode="External"/><Relationship Id="rId164" Type="http://schemas.openxmlformats.org/officeDocument/2006/relationships/hyperlink" Target="https://drive.google.com/drive/folders/1NWXCGQTMPcijVlZPUsGSbSsNwCAmfTXb?usp=sharing" TargetMode="External"/><Relationship Id="rId185" Type="http://schemas.openxmlformats.org/officeDocument/2006/relationships/hyperlink" Target="https://youtu.be/LB8gqZLpyyw" TargetMode="External"/><Relationship Id="rId9" Type="http://schemas.openxmlformats.org/officeDocument/2006/relationships/hyperlink" Target="https://drive.google.com/drive/folders/1rEf3oR2a4bdCY2NYMaL5D6Fp_CPLJL_B?usp=drive_link" TargetMode="External"/><Relationship Id="rId210" Type="http://schemas.openxmlformats.org/officeDocument/2006/relationships/hyperlink" Target="https://youtu.be/E2f9f6A0LA0" TargetMode="External"/><Relationship Id="rId26" Type="http://schemas.openxmlformats.org/officeDocument/2006/relationships/hyperlink" Target="https://drive.google.com/drive/folders/1rEf3oR2a4bdCY2NYMaL5D6Fp_CPLJL_B?usp=drive_link" TargetMode="External"/><Relationship Id="rId231" Type="http://schemas.openxmlformats.org/officeDocument/2006/relationships/hyperlink" Target="https://youtu.be/lvsHZWD_SFw" TargetMode="External"/><Relationship Id="rId252" Type="http://schemas.openxmlformats.org/officeDocument/2006/relationships/hyperlink" Target="https://youtu.be/dno20kR3vy4" TargetMode="External"/><Relationship Id="rId47" Type="http://schemas.openxmlformats.org/officeDocument/2006/relationships/hyperlink" Target="https://drive.google.com/drive/folders/1aMVbN2oXUy0VX5gTDP8-E9KI9nedemse?usp=drive_link" TargetMode="External"/><Relationship Id="rId68" Type="http://schemas.openxmlformats.org/officeDocument/2006/relationships/hyperlink" Target="https://youtu.be/pW-ZsURnh10" TargetMode="External"/><Relationship Id="rId89" Type="http://schemas.openxmlformats.org/officeDocument/2006/relationships/hyperlink" Target="https://youtu.be/9Hu14Yc3Vnc" TargetMode="External"/><Relationship Id="rId112" Type="http://schemas.openxmlformats.org/officeDocument/2006/relationships/hyperlink" Target="https://youtu.be/5hMJqXyfNEw" TargetMode="External"/><Relationship Id="rId133" Type="http://schemas.openxmlformats.org/officeDocument/2006/relationships/hyperlink" Target="https://youtu.be/CGorCnJnATs" TargetMode="External"/><Relationship Id="rId154" Type="http://schemas.openxmlformats.org/officeDocument/2006/relationships/hyperlink" Target="https://youtu.be/UjYfiE7Xeww" TargetMode="External"/><Relationship Id="rId175" Type="http://schemas.openxmlformats.org/officeDocument/2006/relationships/hyperlink" Target="https://youtu.be/BSBcdbSsrAs" TargetMode="External"/><Relationship Id="rId196" Type="http://schemas.openxmlformats.org/officeDocument/2006/relationships/hyperlink" Target="https://youtu.be/TR90uwKSTO0" TargetMode="External"/><Relationship Id="rId200" Type="http://schemas.openxmlformats.org/officeDocument/2006/relationships/hyperlink" Target="https://youtu.be/j_oUecCIpmQ" TargetMode="External"/><Relationship Id="rId16" Type="http://schemas.openxmlformats.org/officeDocument/2006/relationships/hyperlink" Target="https://drive.google.com/drive/folders/1pM35SBmOZ-WFt6lm-3tK55xYZERcNXM8?usp=drive_link" TargetMode="External"/><Relationship Id="rId221" Type="http://schemas.openxmlformats.org/officeDocument/2006/relationships/hyperlink" Target="https://youtu.be/LfiBxsqPyig" TargetMode="External"/><Relationship Id="rId242" Type="http://schemas.openxmlformats.org/officeDocument/2006/relationships/hyperlink" Target="https://youtu.be/7H3P9hjaaag" TargetMode="External"/><Relationship Id="rId37" Type="http://schemas.openxmlformats.org/officeDocument/2006/relationships/hyperlink" Target="https://drive.google.com/drive/folders/1aMVbN2oXUy0VX5gTDP8-E9KI9nedemse?usp=drive_link" TargetMode="External"/><Relationship Id="rId58" Type="http://schemas.openxmlformats.org/officeDocument/2006/relationships/hyperlink" Target="https://drive.google.com/drive/folders/1SuXTp1TIaoV0vd5esI1cr3hcrX9mw5c6?usp=drive_link" TargetMode="External"/><Relationship Id="rId79" Type="http://schemas.openxmlformats.org/officeDocument/2006/relationships/hyperlink" Target="https://youtu.be/jOkc4dz3jeI" TargetMode="External"/><Relationship Id="rId102" Type="http://schemas.openxmlformats.org/officeDocument/2006/relationships/hyperlink" Target="https://youtu.be/BYbgvNpV8eg" TargetMode="External"/><Relationship Id="rId123" Type="http://schemas.openxmlformats.org/officeDocument/2006/relationships/hyperlink" Target="https://youtu.be/sBWz-vZsBf8" TargetMode="External"/><Relationship Id="rId144" Type="http://schemas.openxmlformats.org/officeDocument/2006/relationships/hyperlink" Target="https://youtu.be/zl8Rk_7L0KE" TargetMode="External"/><Relationship Id="rId90" Type="http://schemas.openxmlformats.org/officeDocument/2006/relationships/hyperlink" Target="https://youtu.be/W4VuUggkHUk" TargetMode="External"/><Relationship Id="rId165" Type="http://schemas.openxmlformats.org/officeDocument/2006/relationships/hyperlink" Target="https://drive.google.com/drive/folders/1NWXCGQTMPcijVlZPUsGSbSsNwCAmfTXb?usp=sharing" TargetMode="External"/><Relationship Id="rId186" Type="http://schemas.openxmlformats.org/officeDocument/2006/relationships/hyperlink" Target="https://youtu.be/b2wm-0y9_cs" TargetMode="External"/><Relationship Id="rId211" Type="http://schemas.openxmlformats.org/officeDocument/2006/relationships/hyperlink" Target="https://youtu.be/MiJLJmQTvqQ" TargetMode="External"/><Relationship Id="rId232" Type="http://schemas.openxmlformats.org/officeDocument/2006/relationships/hyperlink" Target="https://youtu.be/qnU4p2XYTnY" TargetMode="External"/><Relationship Id="rId253" Type="http://schemas.openxmlformats.org/officeDocument/2006/relationships/hyperlink" Target="https://youtu.be/OM8SQu4TQJE" TargetMode="External"/><Relationship Id="rId27" Type="http://schemas.openxmlformats.org/officeDocument/2006/relationships/hyperlink" Target="https://drive.google.com/drive/folders/1rEf3oR2a4bdCY2NYMaL5D6Fp_CPLJL_B?usp=drive_link" TargetMode="External"/><Relationship Id="rId48" Type="http://schemas.openxmlformats.org/officeDocument/2006/relationships/hyperlink" Target="https://drive.google.com/drive/folders/1aMVbN2oXUy0VX5gTDP8-E9KI9nedemse?usp=drive_link" TargetMode="External"/><Relationship Id="rId69" Type="http://schemas.openxmlformats.org/officeDocument/2006/relationships/hyperlink" Target="https://youtu.be/MP-wufcUujg" TargetMode="External"/><Relationship Id="rId113" Type="http://schemas.openxmlformats.org/officeDocument/2006/relationships/hyperlink" Target="https://youtu.be/fhXCwin1QPk" TargetMode="External"/><Relationship Id="rId134" Type="http://schemas.openxmlformats.org/officeDocument/2006/relationships/hyperlink" Target="https://youtu.be/dGBcEYoxyNk" TargetMode="External"/><Relationship Id="rId80" Type="http://schemas.openxmlformats.org/officeDocument/2006/relationships/hyperlink" Target="https://youtu.be/k4KoN-DyXgE" TargetMode="External"/><Relationship Id="rId155" Type="http://schemas.openxmlformats.org/officeDocument/2006/relationships/hyperlink" Target="https://youtu.be/vjt3nJ7Iw20" TargetMode="External"/><Relationship Id="rId176" Type="http://schemas.openxmlformats.org/officeDocument/2006/relationships/hyperlink" Target="https://youtu.be/RQ0CNg-ve4s" TargetMode="External"/><Relationship Id="rId197" Type="http://schemas.openxmlformats.org/officeDocument/2006/relationships/hyperlink" Target="https://youtu.be/se4mJaIgY1k" TargetMode="External"/><Relationship Id="rId201" Type="http://schemas.openxmlformats.org/officeDocument/2006/relationships/hyperlink" Target="https://youtu.be/N9lpd6ZZRpo" TargetMode="External"/><Relationship Id="rId222" Type="http://schemas.openxmlformats.org/officeDocument/2006/relationships/hyperlink" Target="https://youtu.be/C_H8SvNRNig" TargetMode="External"/><Relationship Id="rId243" Type="http://schemas.openxmlformats.org/officeDocument/2006/relationships/hyperlink" Target="https://youtu.be/F9QKJd3ect4" TargetMode="External"/><Relationship Id="rId17" Type="http://schemas.openxmlformats.org/officeDocument/2006/relationships/hyperlink" Target="https://drive.google.com/drive/folders/1SuXTp1TIaoV0vd5esI1cr3hcrX9mw5c6?usp=drive_link" TargetMode="External"/><Relationship Id="rId38" Type="http://schemas.openxmlformats.org/officeDocument/2006/relationships/hyperlink" Target="https://drive.google.com/drive/folders/1aMVbN2oXUy0VX5gTDP8-E9KI9nedemse?usp=drive_link" TargetMode="External"/><Relationship Id="rId59" Type="http://schemas.openxmlformats.org/officeDocument/2006/relationships/hyperlink" Target="https://drive.google.com/drive/folders/1SuXTp1TIaoV0vd5esI1cr3hcrX9mw5c6?usp=drive_link" TargetMode="External"/><Relationship Id="rId103" Type="http://schemas.openxmlformats.org/officeDocument/2006/relationships/hyperlink" Target="https://youtu.be/mNCOUN539hA" TargetMode="External"/><Relationship Id="rId124" Type="http://schemas.openxmlformats.org/officeDocument/2006/relationships/hyperlink" Target="https://youtu.be/4kJOOGb0_OU" TargetMode="External"/><Relationship Id="rId70" Type="http://schemas.openxmlformats.org/officeDocument/2006/relationships/hyperlink" Target="https://youtu.be/WOXYoT1xFO8" TargetMode="External"/><Relationship Id="rId91" Type="http://schemas.openxmlformats.org/officeDocument/2006/relationships/hyperlink" Target="https://youtu.be/1hlLJv2w62Q" TargetMode="External"/><Relationship Id="rId145" Type="http://schemas.openxmlformats.org/officeDocument/2006/relationships/hyperlink" Target="https://youtu.be/svo9jhwHSvY" TargetMode="External"/><Relationship Id="rId166" Type="http://schemas.openxmlformats.org/officeDocument/2006/relationships/hyperlink" Target="https://youtu.be/9_RQt9oWdsU" TargetMode="External"/><Relationship Id="rId187" Type="http://schemas.openxmlformats.org/officeDocument/2006/relationships/hyperlink" Target="https://youtu.be/74-btWAMY4E" TargetMode="External"/><Relationship Id="rId1" Type="http://schemas.openxmlformats.org/officeDocument/2006/relationships/hyperlink" Target="https://drive.google.com/drive/folders/1OwE9Aaq7YaghYkySPWJsjs6TAwRQxayT?usp=drive_link" TargetMode="External"/><Relationship Id="rId212" Type="http://schemas.openxmlformats.org/officeDocument/2006/relationships/hyperlink" Target="https://youtu.be/Hs9GJ8-o_d0" TargetMode="External"/><Relationship Id="rId233" Type="http://schemas.openxmlformats.org/officeDocument/2006/relationships/hyperlink" Target="https://youtu.be/kpKoYUbnhOE" TargetMode="External"/><Relationship Id="rId254" Type="http://schemas.openxmlformats.org/officeDocument/2006/relationships/hyperlink" Target="https://youtu.be/DhWAf3OHAtM" TargetMode="External"/><Relationship Id="rId28" Type="http://schemas.openxmlformats.org/officeDocument/2006/relationships/hyperlink" Target="https://drive.google.com/drive/folders/1rEf3oR2a4bdCY2NYMaL5D6Fp_CPLJL_B?usp=drive_link" TargetMode="External"/><Relationship Id="rId49" Type="http://schemas.openxmlformats.org/officeDocument/2006/relationships/hyperlink" Target="https://drive.google.com/drive/folders/1aMVbN2oXUy0VX5gTDP8-E9KI9nedemse?usp=drive_link" TargetMode="External"/><Relationship Id="rId114" Type="http://schemas.openxmlformats.org/officeDocument/2006/relationships/hyperlink" Target="https://youtu.be/hYvA9WpBpg8" TargetMode="External"/><Relationship Id="rId60" Type="http://schemas.openxmlformats.org/officeDocument/2006/relationships/hyperlink" Target="https://drive.google.com/drive/folders/1SuXTp1TIaoV0vd5esI1cr3hcrX9mw5c6?usp=drive_link" TargetMode="External"/><Relationship Id="rId81" Type="http://schemas.openxmlformats.org/officeDocument/2006/relationships/hyperlink" Target="https://youtu.be/T4C6OZvJC6E" TargetMode="External"/><Relationship Id="rId135" Type="http://schemas.openxmlformats.org/officeDocument/2006/relationships/hyperlink" Target="https://youtu.be/VioMdJomgRo" TargetMode="External"/><Relationship Id="rId156" Type="http://schemas.openxmlformats.org/officeDocument/2006/relationships/hyperlink" Target="https://youtu.be/I9q9ig8yzMQ" TargetMode="External"/><Relationship Id="rId177" Type="http://schemas.openxmlformats.org/officeDocument/2006/relationships/hyperlink" Target="https://youtu.be/65VNHT6PkRo" TargetMode="External"/><Relationship Id="rId198" Type="http://schemas.openxmlformats.org/officeDocument/2006/relationships/hyperlink" Target="https://youtu.be/hlcGaJyXwBE" TargetMode="External"/><Relationship Id="rId202" Type="http://schemas.openxmlformats.org/officeDocument/2006/relationships/hyperlink" Target="https://youtu.be/CKl3xYWrQRQ" TargetMode="External"/><Relationship Id="rId223" Type="http://schemas.openxmlformats.org/officeDocument/2006/relationships/hyperlink" Target="https://youtu.be/WZ5qikB7RLo" TargetMode="External"/><Relationship Id="rId244" Type="http://schemas.openxmlformats.org/officeDocument/2006/relationships/hyperlink" Target="https://youtu.be/8HyHD5CZews" TargetMode="External"/><Relationship Id="rId18" Type="http://schemas.openxmlformats.org/officeDocument/2006/relationships/hyperlink" Target="https://drive.google.com/drive/folders/1SuXTp1TIaoV0vd5esI1cr3hcrX9mw5c6?usp=drive_link" TargetMode="External"/><Relationship Id="rId39" Type="http://schemas.openxmlformats.org/officeDocument/2006/relationships/hyperlink" Target="https://drive.google.com/drive/folders/1aMVbN2oXUy0VX5gTDP8-E9KI9nedemse?usp=drive_link" TargetMode="External"/><Relationship Id="rId50" Type="http://schemas.openxmlformats.org/officeDocument/2006/relationships/hyperlink" Target="https://drive.google.com/drive/folders/1AA2z26Q1r1t1iAOcqOa3iiZlrV-jHT94?usp=sharing" TargetMode="External"/><Relationship Id="rId104" Type="http://schemas.openxmlformats.org/officeDocument/2006/relationships/hyperlink" Target="https://youtu.be/pk8N9pULSs0" TargetMode="External"/><Relationship Id="rId125" Type="http://schemas.openxmlformats.org/officeDocument/2006/relationships/hyperlink" Target="https://youtu.be/DJ5yUjhkfN4" TargetMode="External"/><Relationship Id="rId146" Type="http://schemas.openxmlformats.org/officeDocument/2006/relationships/hyperlink" Target="https://youtu.be/L09by-cxnIE" TargetMode="External"/><Relationship Id="rId167" Type="http://schemas.openxmlformats.org/officeDocument/2006/relationships/hyperlink" Target="https://youtu.be/bqyICKPmOeI" TargetMode="External"/><Relationship Id="rId188" Type="http://schemas.openxmlformats.org/officeDocument/2006/relationships/hyperlink" Target="https://youtu.be/QL7I0XRG4fA" TargetMode="External"/><Relationship Id="rId71" Type="http://schemas.openxmlformats.org/officeDocument/2006/relationships/hyperlink" Target="https://youtu.be/sFQN95xYKy8" TargetMode="External"/><Relationship Id="rId92" Type="http://schemas.openxmlformats.org/officeDocument/2006/relationships/hyperlink" Target="https://youtu.be/fgtdHvRWRw0" TargetMode="External"/><Relationship Id="rId213" Type="http://schemas.openxmlformats.org/officeDocument/2006/relationships/hyperlink" Target="https://youtu.be/DFIFkzsDLXw" TargetMode="External"/><Relationship Id="rId234" Type="http://schemas.openxmlformats.org/officeDocument/2006/relationships/hyperlink" Target="https://youtu.be/HDBRzDV6SAY" TargetMode="External"/><Relationship Id="rId2" Type="http://schemas.openxmlformats.org/officeDocument/2006/relationships/hyperlink" Target="https://drive.google.com/drive/folders/1OwE9Aaq7YaghYkySPWJsjs6TAwRQxayT?usp=drive_link" TargetMode="External"/><Relationship Id="rId29" Type="http://schemas.openxmlformats.org/officeDocument/2006/relationships/hyperlink" Target="https://drive.google.com/drive/folders/12-YIBd7SVCDbL2SmRk5aaz2m9d6tklqy?usp=sharing" TargetMode="External"/><Relationship Id="rId255" Type="http://schemas.openxmlformats.org/officeDocument/2006/relationships/hyperlink" Target="https://youtu.be/Sk9kAy_yjh0" TargetMode="External"/><Relationship Id="rId40" Type="http://schemas.openxmlformats.org/officeDocument/2006/relationships/hyperlink" Target="https://drive.google.com/drive/folders/1aMVbN2oXUy0VX5gTDP8-E9KI9nedemse?usp=drive_link" TargetMode="External"/><Relationship Id="rId115" Type="http://schemas.openxmlformats.org/officeDocument/2006/relationships/hyperlink" Target="https://youtu.be/1AA7OJhmhSA" TargetMode="External"/><Relationship Id="rId136" Type="http://schemas.openxmlformats.org/officeDocument/2006/relationships/hyperlink" Target="https://youtu.be/9eQ--7QdVl0" TargetMode="External"/><Relationship Id="rId157" Type="http://schemas.openxmlformats.org/officeDocument/2006/relationships/hyperlink" Target="https://youtu.be/LSYNpumVsLk" TargetMode="External"/><Relationship Id="rId178" Type="http://schemas.openxmlformats.org/officeDocument/2006/relationships/hyperlink" Target="https://youtu.be/y-VmE4wPoZw" TargetMode="External"/><Relationship Id="rId61" Type="http://schemas.openxmlformats.org/officeDocument/2006/relationships/hyperlink" Target="https://drive.google.com/drive/folders/1SuXTp1TIaoV0vd5esI1cr3hcrX9mw5c6?usp=drive_link" TargetMode="External"/><Relationship Id="rId82" Type="http://schemas.openxmlformats.org/officeDocument/2006/relationships/hyperlink" Target="https://youtu.be/Ryp3n8c34uQ" TargetMode="External"/><Relationship Id="rId199" Type="http://schemas.openxmlformats.org/officeDocument/2006/relationships/hyperlink" Target="https://youtu.be/35oI_ZlSix4" TargetMode="External"/><Relationship Id="rId203" Type="http://schemas.openxmlformats.org/officeDocument/2006/relationships/hyperlink" Target="https://youtu.be/76LGMBCxvNE" TargetMode="External"/><Relationship Id="rId19" Type="http://schemas.openxmlformats.org/officeDocument/2006/relationships/hyperlink" Target="https://drive.google.com/drive/folders/1SuXTp1TIaoV0vd5esI1cr3hcrX9mw5c6?usp=drive_link" TargetMode="External"/><Relationship Id="rId224" Type="http://schemas.openxmlformats.org/officeDocument/2006/relationships/hyperlink" Target="https://youtu.be/ZSsudXfl0AQ" TargetMode="External"/><Relationship Id="rId245" Type="http://schemas.openxmlformats.org/officeDocument/2006/relationships/hyperlink" Target="https://youtu.be/U9PJ_FT4ImE" TargetMode="External"/><Relationship Id="rId30" Type="http://schemas.openxmlformats.org/officeDocument/2006/relationships/hyperlink" Target="https://drive.google.com/drive/folders/12PmZnW4hgf0lUyKz0Mbf9n_XvUI7SccK?usp=sharing" TargetMode="External"/><Relationship Id="rId105" Type="http://schemas.openxmlformats.org/officeDocument/2006/relationships/hyperlink" Target="https://youtu.be/yRCJGX0ZxOM" TargetMode="External"/><Relationship Id="rId126" Type="http://schemas.openxmlformats.org/officeDocument/2006/relationships/hyperlink" Target="https://youtu.be/ZPCBB_i542o" TargetMode="External"/><Relationship Id="rId147" Type="http://schemas.openxmlformats.org/officeDocument/2006/relationships/hyperlink" Target="https://youtu.be/Xf203Nsil_E" TargetMode="External"/><Relationship Id="rId168" Type="http://schemas.openxmlformats.org/officeDocument/2006/relationships/hyperlink" Target="https://drive.google.com/drive/folders/1OwE9Aaq7YaghYkySPWJsjs6TAwRQxayT?usp=drive_link" TargetMode="External"/><Relationship Id="rId51" Type="http://schemas.openxmlformats.org/officeDocument/2006/relationships/hyperlink" Target="https://drive.google.com/drive/folders/1AA2z26Q1r1t1iAOcqOa3iiZlrV-jHT94?usp=sharing" TargetMode="External"/><Relationship Id="rId72" Type="http://schemas.openxmlformats.org/officeDocument/2006/relationships/hyperlink" Target="https://youtu.be/XFTBsz_4kGc" TargetMode="External"/><Relationship Id="rId93" Type="http://schemas.openxmlformats.org/officeDocument/2006/relationships/hyperlink" Target="https://youtu.be/ciSaIVaauH8" TargetMode="External"/><Relationship Id="rId189" Type="http://schemas.openxmlformats.org/officeDocument/2006/relationships/hyperlink" Target="https://youtu.be/qePxq_tcNR8" TargetMode="External"/><Relationship Id="rId3" Type="http://schemas.openxmlformats.org/officeDocument/2006/relationships/hyperlink" Target="https://drive.google.com/drive/folders/1rEf3oR2a4bdCY2NYMaL5D6Fp_CPLJL_B?usp=drive_link" TargetMode="External"/><Relationship Id="rId214" Type="http://schemas.openxmlformats.org/officeDocument/2006/relationships/hyperlink" Target="https://youtu.be/tbzwDCKVhzo" TargetMode="External"/><Relationship Id="rId235" Type="http://schemas.openxmlformats.org/officeDocument/2006/relationships/hyperlink" Target="https://youtu.be/m6Amm1kjo6o" TargetMode="External"/><Relationship Id="rId256" Type="http://schemas.openxmlformats.org/officeDocument/2006/relationships/vmlDrawing" Target="../drawings/vmlDrawing4.vml"/><Relationship Id="rId116" Type="http://schemas.openxmlformats.org/officeDocument/2006/relationships/hyperlink" Target="https://youtu.be/6a2nszrBj-E" TargetMode="External"/><Relationship Id="rId137" Type="http://schemas.openxmlformats.org/officeDocument/2006/relationships/hyperlink" Target="https://youtu.be/DK8l5nEmivM" TargetMode="External"/><Relationship Id="rId158" Type="http://schemas.openxmlformats.org/officeDocument/2006/relationships/hyperlink" Target="https://youtu.be/R_Upmg7C8-0" TargetMode="External"/><Relationship Id="rId20" Type="http://schemas.openxmlformats.org/officeDocument/2006/relationships/hyperlink" Target="https://drive.google.com/drive/folders/1SuXTp1TIaoV0vd5esI1cr3hcrX9mw5c6?usp=drive_link" TargetMode="External"/><Relationship Id="rId41" Type="http://schemas.openxmlformats.org/officeDocument/2006/relationships/hyperlink" Target="https://drive.google.com/drive/folders/1aMVbN2oXUy0VX5gTDP8-E9KI9nedemse?usp=drive_link" TargetMode="External"/><Relationship Id="rId62" Type="http://schemas.openxmlformats.org/officeDocument/2006/relationships/hyperlink" Target="https://youtu.be/sfPMqly96f4" TargetMode="External"/><Relationship Id="rId83" Type="http://schemas.openxmlformats.org/officeDocument/2006/relationships/hyperlink" Target="https://youtu.be/vyIbsQreoOg" TargetMode="External"/><Relationship Id="rId179" Type="http://schemas.openxmlformats.org/officeDocument/2006/relationships/hyperlink" Target="https://youtu.be/XO8EsahwI2I" TargetMode="External"/><Relationship Id="rId190" Type="http://schemas.openxmlformats.org/officeDocument/2006/relationships/hyperlink" Target="https://youtu.be/y5bCisfJz0U" TargetMode="External"/><Relationship Id="rId204" Type="http://schemas.openxmlformats.org/officeDocument/2006/relationships/hyperlink" Target="https://youtu.be/bn-7dvDkL9Y" TargetMode="External"/><Relationship Id="rId225" Type="http://schemas.openxmlformats.org/officeDocument/2006/relationships/hyperlink" Target="https://youtu.be/eRWQNq6E8SA" TargetMode="External"/><Relationship Id="rId246" Type="http://schemas.openxmlformats.org/officeDocument/2006/relationships/hyperlink" Target="https://youtu.be/dduzDVf0P0k" TargetMode="External"/><Relationship Id="rId106" Type="http://schemas.openxmlformats.org/officeDocument/2006/relationships/hyperlink" Target="https://youtu.be/8cG0-tMCzik" TargetMode="External"/><Relationship Id="rId127" Type="http://schemas.openxmlformats.org/officeDocument/2006/relationships/hyperlink" Target="https://youtu.be/KZ0o2IZXGmE" TargetMode="External"/><Relationship Id="rId10" Type="http://schemas.openxmlformats.org/officeDocument/2006/relationships/hyperlink" Target="https://drive.google.com/drive/folders/1rEf3oR2a4bdCY2NYMaL5D6Fp_CPLJL_B?usp=drive_link" TargetMode="External"/><Relationship Id="rId31" Type="http://schemas.openxmlformats.org/officeDocument/2006/relationships/hyperlink" Target="https://drive.google.com/drive/folders/1SuXTp1TIaoV0vd5esI1cr3hcrX9mw5c6?usp=drive_link" TargetMode="External"/><Relationship Id="rId52" Type="http://schemas.openxmlformats.org/officeDocument/2006/relationships/hyperlink" Target="https://drive.google.com/drive/folders/1SuXTp1TIaoV0vd5esI1cr3hcrX9mw5c6?usp=drive_link" TargetMode="External"/><Relationship Id="rId73" Type="http://schemas.openxmlformats.org/officeDocument/2006/relationships/hyperlink" Target="https://youtu.be/RLW-IQP1uSc" TargetMode="External"/><Relationship Id="rId94" Type="http://schemas.openxmlformats.org/officeDocument/2006/relationships/hyperlink" Target="https://youtu.be/D2RsNwBA3hA" TargetMode="External"/><Relationship Id="rId148" Type="http://schemas.openxmlformats.org/officeDocument/2006/relationships/hyperlink" Target="https://youtu.be/Bl8HFQcuxoI" TargetMode="External"/><Relationship Id="rId169" Type="http://schemas.openxmlformats.org/officeDocument/2006/relationships/hyperlink" Target="javascript:__doPostBack('ctl00$ctl00$ContentPlaceHolder1$ContentPlaceHolder1$grdListarPendenteEditado$ctl02$lnkMediaId','')" TargetMode="External"/><Relationship Id="rId4" Type="http://schemas.openxmlformats.org/officeDocument/2006/relationships/hyperlink" Target="https://drive.google.com/drive/folders/1rEf3oR2a4bdCY2NYMaL5D6Fp_CPLJL_B?usp=drive_link" TargetMode="External"/><Relationship Id="rId180" Type="http://schemas.openxmlformats.org/officeDocument/2006/relationships/hyperlink" Target="https://youtu.be/1wkRYohT48A" TargetMode="External"/><Relationship Id="rId215" Type="http://schemas.openxmlformats.org/officeDocument/2006/relationships/hyperlink" Target="https://youtu.be/sFLqEZ7rwz8" TargetMode="External"/><Relationship Id="rId236" Type="http://schemas.openxmlformats.org/officeDocument/2006/relationships/hyperlink" Target="https://youtu.be/jcSPwQK8YvQ" TargetMode="External"/><Relationship Id="rId257"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17" Type="http://schemas.openxmlformats.org/officeDocument/2006/relationships/hyperlink" Target="https://youtu.be/iAEzBrtgOVM" TargetMode="External"/><Relationship Id="rId671" Type="http://schemas.openxmlformats.org/officeDocument/2006/relationships/hyperlink" Target="https://youtu.be/zWwAzzonOgE" TargetMode="External"/><Relationship Id="rId769" Type="http://schemas.openxmlformats.org/officeDocument/2006/relationships/hyperlink" Target="https://youtu.be/eh3Jedhve_o" TargetMode="External"/><Relationship Id="rId21" Type="http://schemas.openxmlformats.org/officeDocument/2006/relationships/hyperlink" Target="https://youtu.be/QeeqTSRLStY" TargetMode="External"/><Relationship Id="rId324" Type="http://schemas.openxmlformats.org/officeDocument/2006/relationships/hyperlink" Target="https://youtu.be/2QC5iCTR8z0" TargetMode="External"/><Relationship Id="rId531" Type="http://schemas.openxmlformats.org/officeDocument/2006/relationships/hyperlink" Target="https://youtu.be/h3DFle6I8IU" TargetMode="External"/><Relationship Id="rId629" Type="http://schemas.openxmlformats.org/officeDocument/2006/relationships/hyperlink" Target="https://youtu.be/VCLKJSlyXP4" TargetMode="External"/><Relationship Id="rId170" Type="http://schemas.openxmlformats.org/officeDocument/2006/relationships/hyperlink" Target="https://youtu.be/U78PlXk1Sqg" TargetMode="External"/><Relationship Id="rId836" Type="http://schemas.openxmlformats.org/officeDocument/2006/relationships/hyperlink" Target="https://youtu.be/oM6kbFnOchg" TargetMode="External"/><Relationship Id="rId268" Type="http://schemas.openxmlformats.org/officeDocument/2006/relationships/hyperlink" Target="https://youtu.be/cikjHOY8i18" TargetMode="External"/><Relationship Id="rId475" Type="http://schemas.openxmlformats.org/officeDocument/2006/relationships/hyperlink" Target="https://youtu.be/t_2Oef_dXtw" TargetMode="External"/><Relationship Id="rId682" Type="http://schemas.openxmlformats.org/officeDocument/2006/relationships/hyperlink" Target="https://youtu.be/UE99zvuvhMs" TargetMode="External"/><Relationship Id="rId32" Type="http://schemas.openxmlformats.org/officeDocument/2006/relationships/hyperlink" Target="https://youtu.be/DWp1DNqqSTQ" TargetMode="External"/><Relationship Id="rId128" Type="http://schemas.openxmlformats.org/officeDocument/2006/relationships/hyperlink" Target="https://youtu.be/IdZ7gylEgec" TargetMode="External"/><Relationship Id="rId335" Type="http://schemas.openxmlformats.org/officeDocument/2006/relationships/hyperlink" Target="https://youtu.be/Awf-DbjFLKo" TargetMode="External"/><Relationship Id="rId542" Type="http://schemas.openxmlformats.org/officeDocument/2006/relationships/hyperlink" Target="https://youtu.be/r1dyTj7xe_g" TargetMode="External"/><Relationship Id="rId181" Type="http://schemas.openxmlformats.org/officeDocument/2006/relationships/hyperlink" Target="https://youtu.be/j4VbGlaUP-o" TargetMode="External"/><Relationship Id="rId402" Type="http://schemas.openxmlformats.org/officeDocument/2006/relationships/hyperlink" Target="https://youtu.be/_hb0DG7g5xc" TargetMode="External"/><Relationship Id="rId847" Type="http://schemas.openxmlformats.org/officeDocument/2006/relationships/vmlDrawing" Target="../drawings/vmlDrawing5.vml"/><Relationship Id="rId279" Type="http://schemas.openxmlformats.org/officeDocument/2006/relationships/hyperlink" Target="https://youtu.be/kM_yZ9AZv0I" TargetMode="External"/><Relationship Id="rId486" Type="http://schemas.openxmlformats.org/officeDocument/2006/relationships/hyperlink" Target="https://youtu.be/gMni5g5T0f0" TargetMode="External"/><Relationship Id="rId693" Type="http://schemas.openxmlformats.org/officeDocument/2006/relationships/hyperlink" Target="https://youtu.be/ODm3K45FPsU" TargetMode="External"/><Relationship Id="rId707" Type="http://schemas.openxmlformats.org/officeDocument/2006/relationships/hyperlink" Target="https://youtu.be/VfbUjsn8DlI" TargetMode="External"/><Relationship Id="rId43" Type="http://schemas.openxmlformats.org/officeDocument/2006/relationships/hyperlink" Target="https://youtu.be/UMn2gwK7CpU" TargetMode="External"/><Relationship Id="rId139" Type="http://schemas.openxmlformats.org/officeDocument/2006/relationships/hyperlink" Target="https://youtu.be/aU3jPoebAgk" TargetMode="External"/><Relationship Id="rId346" Type="http://schemas.openxmlformats.org/officeDocument/2006/relationships/hyperlink" Target="https://youtu.be/k9x_m8BErqM" TargetMode="External"/><Relationship Id="rId553" Type="http://schemas.openxmlformats.org/officeDocument/2006/relationships/hyperlink" Target="https://youtu.be/3mFYtBS6-9o" TargetMode="External"/><Relationship Id="rId760" Type="http://schemas.openxmlformats.org/officeDocument/2006/relationships/hyperlink" Target="https://youtu.be/p8MnsZchZmM" TargetMode="External"/><Relationship Id="rId192" Type="http://schemas.openxmlformats.org/officeDocument/2006/relationships/hyperlink" Target="https://youtu.be/Trr20PZol9w" TargetMode="External"/><Relationship Id="rId206" Type="http://schemas.openxmlformats.org/officeDocument/2006/relationships/hyperlink" Target="https://youtu.be/tA1vgWD15Ts" TargetMode="External"/><Relationship Id="rId413" Type="http://schemas.openxmlformats.org/officeDocument/2006/relationships/hyperlink" Target="https://youtu.be/ygycCSKz7ds" TargetMode="External"/><Relationship Id="rId497" Type="http://schemas.openxmlformats.org/officeDocument/2006/relationships/hyperlink" Target="https://youtu.be/1S0e1fM8-VA" TargetMode="External"/><Relationship Id="rId620" Type="http://schemas.openxmlformats.org/officeDocument/2006/relationships/hyperlink" Target="https://youtu.be/BDf6FT3WbBg" TargetMode="External"/><Relationship Id="rId718" Type="http://schemas.openxmlformats.org/officeDocument/2006/relationships/hyperlink" Target="https://youtu.be/OvK6xeklkVo" TargetMode="External"/><Relationship Id="rId357" Type="http://schemas.openxmlformats.org/officeDocument/2006/relationships/hyperlink" Target="https://youtu.be/0oG5JLKSt4E" TargetMode="External"/><Relationship Id="rId54" Type="http://schemas.openxmlformats.org/officeDocument/2006/relationships/hyperlink" Target="https://youtu.be/xdHTggX-OCA" TargetMode="External"/><Relationship Id="rId217" Type="http://schemas.openxmlformats.org/officeDocument/2006/relationships/hyperlink" Target="https://youtu.be/HPPOkaDs2lA" TargetMode="External"/><Relationship Id="rId564" Type="http://schemas.openxmlformats.org/officeDocument/2006/relationships/hyperlink" Target="https://youtu.be/mJsKcjdoIqo" TargetMode="External"/><Relationship Id="rId771" Type="http://schemas.openxmlformats.org/officeDocument/2006/relationships/hyperlink" Target="https://youtu.be/2Ol3bJWWENU" TargetMode="External"/><Relationship Id="rId424" Type="http://schemas.openxmlformats.org/officeDocument/2006/relationships/hyperlink" Target="https://www.youtube.com/watch?v=L4LmgPSnsLk&amp;t=2s" TargetMode="External"/><Relationship Id="rId631" Type="http://schemas.openxmlformats.org/officeDocument/2006/relationships/hyperlink" Target="https://youtu.be/lRWC18xvF8E" TargetMode="External"/><Relationship Id="rId729" Type="http://schemas.openxmlformats.org/officeDocument/2006/relationships/hyperlink" Target="https://youtu.be/BQLDcyOw7Do" TargetMode="External"/><Relationship Id="rId270" Type="http://schemas.openxmlformats.org/officeDocument/2006/relationships/hyperlink" Target="https://www.youtube.com/watch?v=GNh2goLlRcg" TargetMode="External"/><Relationship Id="rId65" Type="http://schemas.openxmlformats.org/officeDocument/2006/relationships/hyperlink" Target="https://youtu.be/EggCD5WZmEI" TargetMode="External"/><Relationship Id="rId130" Type="http://schemas.openxmlformats.org/officeDocument/2006/relationships/hyperlink" Target="https://youtu.be/39yuJ4owMJI" TargetMode="External"/><Relationship Id="rId368" Type="http://schemas.openxmlformats.org/officeDocument/2006/relationships/hyperlink" Target="https://youtu.be/zOwdV125Opg" TargetMode="External"/><Relationship Id="rId575" Type="http://schemas.openxmlformats.org/officeDocument/2006/relationships/hyperlink" Target="https://youtu.be/KObxyRmpckM" TargetMode="External"/><Relationship Id="rId782" Type="http://schemas.openxmlformats.org/officeDocument/2006/relationships/hyperlink" Target="https://youtu.be/ZYCFXaWHX-E" TargetMode="External"/><Relationship Id="rId228" Type="http://schemas.openxmlformats.org/officeDocument/2006/relationships/hyperlink" Target="https://youtu.be/v1fZRiZt6uY" TargetMode="External"/><Relationship Id="rId435" Type="http://schemas.openxmlformats.org/officeDocument/2006/relationships/hyperlink" Target="https://youtu.be/IN8EQwJLUbk" TargetMode="External"/><Relationship Id="rId642" Type="http://schemas.openxmlformats.org/officeDocument/2006/relationships/hyperlink" Target="https://youtu.be/01Hb_UV-yDA" TargetMode="External"/><Relationship Id="rId281" Type="http://schemas.openxmlformats.org/officeDocument/2006/relationships/hyperlink" Target="https://youtu.be/M1wKeR4cvF4" TargetMode="External"/><Relationship Id="rId502" Type="http://schemas.openxmlformats.org/officeDocument/2006/relationships/hyperlink" Target="https://youtu.be/7ST7XoWO69I" TargetMode="External"/><Relationship Id="rId76" Type="http://schemas.openxmlformats.org/officeDocument/2006/relationships/hyperlink" Target="https://youtu.be/2oTRIPxK2PE" TargetMode="External"/><Relationship Id="rId141" Type="http://schemas.openxmlformats.org/officeDocument/2006/relationships/hyperlink" Target="https://youtu.be/UI2vbG8ASas" TargetMode="External"/><Relationship Id="rId379" Type="http://schemas.openxmlformats.org/officeDocument/2006/relationships/hyperlink" Target="https://youtu.be/QF01omZuWkA" TargetMode="External"/><Relationship Id="rId586" Type="http://schemas.openxmlformats.org/officeDocument/2006/relationships/hyperlink" Target="https://youtu.be/7Lyo-DrA_4E" TargetMode="External"/><Relationship Id="rId793" Type="http://schemas.openxmlformats.org/officeDocument/2006/relationships/hyperlink" Target="https://youtu.be/0pClXaUkoJc" TargetMode="External"/><Relationship Id="rId807" Type="http://schemas.openxmlformats.org/officeDocument/2006/relationships/hyperlink" Target="https://youtu.be/jPNFWiEqzy8" TargetMode="External"/><Relationship Id="rId7" Type="http://schemas.openxmlformats.org/officeDocument/2006/relationships/hyperlink" Target="https://youtu.be/4X0Q72gNVsk" TargetMode="External"/><Relationship Id="rId239" Type="http://schemas.openxmlformats.org/officeDocument/2006/relationships/hyperlink" Target="https://youtu.be/-GLKxLfTWYE" TargetMode="External"/><Relationship Id="rId446" Type="http://schemas.openxmlformats.org/officeDocument/2006/relationships/hyperlink" Target="https://youtu.be/Q8mnRv4fyOQ" TargetMode="External"/><Relationship Id="rId653" Type="http://schemas.openxmlformats.org/officeDocument/2006/relationships/hyperlink" Target="https://youtu.be/Y9QwlY_GL_M" TargetMode="External"/><Relationship Id="rId292" Type="http://schemas.openxmlformats.org/officeDocument/2006/relationships/hyperlink" Target="https://youtu.be/K48tuhMSbSk" TargetMode="External"/><Relationship Id="rId306" Type="http://schemas.openxmlformats.org/officeDocument/2006/relationships/hyperlink" Target="https://youtu.be/82y3yhHTRAs" TargetMode="External"/><Relationship Id="rId87" Type="http://schemas.openxmlformats.org/officeDocument/2006/relationships/hyperlink" Target="https://youtu.be/ziDgbH5PC1A" TargetMode="External"/><Relationship Id="rId513" Type="http://schemas.openxmlformats.org/officeDocument/2006/relationships/hyperlink" Target="https://youtu.be/9AAjsVuXwiI" TargetMode="External"/><Relationship Id="rId597" Type="http://schemas.openxmlformats.org/officeDocument/2006/relationships/hyperlink" Target="https://youtu.be/3ozoRkbqG-w" TargetMode="External"/><Relationship Id="rId720" Type="http://schemas.openxmlformats.org/officeDocument/2006/relationships/hyperlink" Target="https://youtu.be/_D_pqlkLoC4" TargetMode="External"/><Relationship Id="rId818" Type="http://schemas.openxmlformats.org/officeDocument/2006/relationships/hyperlink" Target="https://youtu.be/aBkUv5kgfu0" TargetMode="External"/><Relationship Id="rId152" Type="http://schemas.openxmlformats.org/officeDocument/2006/relationships/hyperlink" Target="https://youtu.be/fHy94EVtv98" TargetMode="External"/><Relationship Id="rId457" Type="http://schemas.openxmlformats.org/officeDocument/2006/relationships/hyperlink" Target="https://youtu.be/DRwNbdorMJI" TargetMode="External"/><Relationship Id="rId664" Type="http://schemas.openxmlformats.org/officeDocument/2006/relationships/hyperlink" Target="https://youtu.be/S5B31VYLlLA" TargetMode="External"/><Relationship Id="rId14" Type="http://schemas.openxmlformats.org/officeDocument/2006/relationships/hyperlink" Target="https://youtu.be/mqlxbD7jEcg" TargetMode="External"/><Relationship Id="rId317" Type="http://schemas.openxmlformats.org/officeDocument/2006/relationships/hyperlink" Target="https://youtu.be/n80xhVGCe1g" TargetMode="External"/><Relationship Id="rId524" Type="http://schemas.openxmlformats.org/officeDocument/2006/relationships/hyperlink" Target="https://youtu.be/rhRGqzjDkms" TargetMode="External"/><Relationship Id="rId731" Type="http://schemas.openxmlformats.org/officeDocument/2006/relationships/hyperlink" Target="https://youtu.be/MY5_S3EaYcY" TargetMode="External"/><Relationship Id="rId98" Type="http://schemas.openxmlformats.org/officeDocument/2006/relationships/hyperlink" Target="https://youtu.be/w0KQvLcPjw0" TargetMode="External"/><Relationship Id="rId163" Type="http://schemas.openxmlformats.org/officeDocument/2006/relationships/hyperlink" Target="https://youtu.be/kERxo00O2G8" TargetMode="External"/><Relationship Id="rId370" Type="http://schemas.openxmlformats.org/officeDocument/2006/relationships/hyperlink" Target="https://youtu.be/3o1bsl_0M0k" TargetMode="External"/><Relationship Id="rId829" Type="http://schemas.openxmlformats.org/officeDocument/2006/relationships/hyperlink" Target="https://youtu.be/mMP_H6poDbo" TargetMode="External"/><Relationship Id="rId230" Type="http://schemas.openxmlformats.org/officeDocument/2006/relationships/hyperlink" Target="https://youtu.be/fVahJ9bsZd0" TargetMode="External"/><Relationship Id="rId468" Type="http://schemas.openxmlformats.org/officeDocument/2006/relationships/hyperlink" Target="https://youtu.be/Ii222F8YKL8" TargetMode="External"/><Relationship Id="rId675" Type="http://schemas.openxmlformats.org/officeDocument/2006/relationships/hyperlink" Target="https://youtu.be/ufFePKFDobo" TargetMode="External"/><Relationship Id="rId25" Type="http://schemas.openxmlformats.org/officeDocument/2006/relationships/hyperlink" Target="https://youtu.be/c4EAxiUJUow" TargetMode="External"/><Relationship Id="rId328" Type="http://schemas.openxmlformats.org/officeDocument/2006/relationships/hyperlink" Target="https://youtu.be/7L8GfjQmRAo" TargetMode="External"/><Relationship Id="rId535" Type="http://schemas.openxmlformats.org/officeDocument/2006/relationships/hyperlink" Target="https://youtu.be/Pl8cTtAjvnc" TargetMode="External"/><Relationship Id="rId742" Type="http://schemas.openxmlformats.org/officeDocument/2006/relationships/hyperlink" Target="https://youtu.be/TEV4FSWlzUE" TargetMode="External"/><Relationship Id="rId174" Type="http://schemas.openxmlformats.org/officeDocument/2006/relationships/hyperlink" Target="https://youtu.be/yX8pU6-hMzE" TargetMode="External"/><Relationship Id="rId381" Type="http://schemas.openxmlformats.org/officeDocument/2006/relationships/hyperlink" Target="https://youtu.be/XqWMdrw_7qk" TargetMode="External"/><Relationship Id="rId602" Type="http://schemas.openxmlformats.org/officeDocument/2006/relationships/hyperlink" Target="https://youtu.be/NHxtCbc6pAI" TargetMode="External"/><Relationship Id="rId241" Type="http://schemas.openxmlformats.org/officeDocument/2006/relationships/hyperlink" Target="https://youtu.be/AYbf8ooQ7Vw" TargetMode="External"/><Relationship Id="rId479" Type="http://schemas.openxmlformats.org/officeDocument/2006/relationships/hyperlink" Target="https://youtu.be/9c0-hUXToyg" TargetMode="External"/><Relationship Id="rId686" Type="http://schemas.openxmlformats.org/officeDocument/2006/relationships/hyperlink" Target="https://youtu.be/3oE9Qs_dclk" TargetMode="External"/><Relationship Id="rId36" Type="http://schemas.openxmlformats.org/officeDocument/2006/relationships/hyperlink" Target="https://youtu.be/uIw5Ckltqxc" TargetMode="External"/><Relationship Id="rId339" Type="http://schemas.openxmlformats.org/officeDocument/2006/relationships/hyperlink" Target="https://youtu.be/SngBJ_PUFgI" TargetMode="External"/><Relationship Id="rId546" Type="http://schemas.openxmlformats.org/officeDocument/2006/relationships/hyperlink" Target="https://youtu.be/RL6NH7v1Q4o" TargetMode="External"/><Relationship Id="rId753" Type="http://schemas.openxmlformats.org/officeDocument/2006/relationships/hyperlink" Target="https://youtu.be/v9AZ7YQsn08" TargetMode="External"/><Relationship Id="rId101" Type="http://schemas.openxmlformats.org/officeDocument/2006/relationships/hyperlink" Target="https://youtu.be/R8_NWpR83qE" TargetMode="External"/><Relationship Id="rId185" Type="http://schemas.openxmlformats.org/officeDocument/2006/relationships/hyperlink" Target="https://youtu.be/sLSixZwhZ4A" TargetMode="External"/><Relationship Id="rId406" Type="http://schemas.openxmlformats.org/officeDocument/2006/relationships/hyperlink" Target="https://youtu.be/ec_Gyml_Emk" TargetMode="External"/><Relationship Id="rId392" Type="http://schemas.openxmlformats.org/officeDocument/2006/relationships/hyperlink" Target="https://youtu.be/JcCTIu4To24" TargetMode="External"/><Relationship Id="rId613" Type="http://schemas.openxmlformats.org/officeDocument/2006/relationships/hyperlink" Target="https://youtu.be/YmcnJmwuM_Q" TargetMode="External"/><Relationship Id="rId697" Type="http://schemas.openxmlformats.org/officeDocument/2006/relationships/hyperlink" Target="https://youtu.be/wFtXBEPLc_g" TargetMode="External"/><Relationship Id="rId820" Type="http://schemas.openxmlformats.org/officeDocument/2006/relationships/hyperlink" Target="https://youtu.be/OgT97HTy0DA" TargetMode="External"/><Relationship Id="rId252" Type="http://schemas.openxmlformats.org/officeDocument/2006/relationships/hyperlink" Target="https://youtu.be/paNBVR9pab8" TargetMode="External"/><Relationship Id="rId47" Type="http://schemas.openxmlformats.org/officeDocument/2006/relationships/hyperlink" Target="https://youtu.be/iFW8gm-zoR4" TargetMode="External"/><Relationship Id="rId112" Type="http://schemas.openxmlformats.org/officeDocument/2006/relationships/hyperlink" Target="https://youtu.be/6uGcTooN5u4" TargetMode="External"/><Relationship Id="rId557" Type="http://schemas.openxmlformats.org/officeDocument/2006/relationships/hyperlink" Target="https://youtu.be/-Gy8ozNIh2o" TargetMode="External"/><Relationship Id="rId764" Type="http://schemas.openxmlformats.org/officeDocument/2006/relationships/hyperlink" Target="https://youtu.be/LjyOOUrGO9E" TargetMode="External"/><Relationship Id="rId196" Type="http://schemas.openxmlformats.org/officeDocument/2006/relationships/hyperlink" Target="https://youtu.be/gNujhG6ItAs" TargetMode="External"/><Relationship Id="rId417" Type="http://schemas.openxmlformats.org/officeDocument/2006/relationships/hyperlink" Target="https://youtu.be/EZKMTZTDzNk" TargetMode="External"/><Relationship Id="rId624" Type="http://schemas.openxmlformats.org/officeDocument/2006/relationships/hyperlink" Target="https://youtu.be/b2PSuIsYmHw" TargetMode="External"/><Relationship Id="rId831" Type="http://schemas.openxmlformats.org/officeDocument/2006/relationships/hyperlink" Target="https://youtu.be/k7xE_juGr3I" TargetMode="External"/><Relationship Id="rId263" Type="http://schemas.openxmlformats.org/officeDocument/2006/relationships/hyperlink" Target="https://youtu.be/BfjYwASN03g" TargetMode="External"/><Relationship Id="rId470" Type="http://schemas.openxmlformats.org/officeDocument/2006/relationships/hyperlink" Target="https://youtu.be/zWb4FEoulvE" TargetMode="External"/><Relationship Id="rId58" Type="http://schemas.openxmlformats.org/officeDocument/2006/relationships/hyperlink" Target="https://youtu.be/Koqt286csj0" TargetMode="External"/><Relationship Id="rId123" Type="http://schemas.openxmlformats.org/officeDocument/2006/relationships/hyperlink" Target="https://youtu.be/i27zek2KvvQ" TargetMode="External"/><Relationship Id="rId330" Type="http://schemas.openxmlformats.org/officeDocument/2006/relationships/hyperlink" Target="https://youtu.be/Zp1eKN0a4S4" TargetMode="External"/><Relationship Id="rId568" Type="http://schemas.openxmlformats.org/officeDocument/2006/relationships/hyperlink" Target="https://youtu.be/fHrLpPsO-Fk" TargetMode="External"/><Relationship Id="rId775" Type="http://schemas.openxmlformats.org/officeDocument/2006/relationships/hyperlink" Target="https://youtu.be/Y3eae_k8-6E" TargetMode="External"/><Relationship Id="rId428" Type="http://schemas.openxmlformats.org/officeDocument/2006/relationships/hyperlink" Target="https://www.youtube.com/watch?v=L4LmgPSnsLk&amp;t=87s" TargetMode="External"/><Relationship Id="rId635" Type="http://schemas.openxmlformats.org/officeDocument/2006/relationships/hyperlink" Target="https://youtu.be/DTshocLcG8Y" TargetMode="External"/><Relationship Id="rId842" Type="http://schemas.openxmlformats.org/officeDocument/2006/relationships/hyperlink" Target="https://youtu.be/vE-9SGQ0haA" TargetMode="External"/><Relationship Id="rId274" Type="http://schemas.openxmlformats.org/officeDocument/2006/relationships/hyperlink" Target="https://www.youtube.com/watch?v=yGIK3KEzscI" TargetMode="External"/><Relationship Id="rId481" Type="http://schemas.openxmlformats.org/officeDocument/2006/relationships/hyperlink" Target="https://youtu.be/w-5cNdomsKs" TargetMode="External"/><Relationship Id="rId702" Type="http://schemas.openxmlformats.org/officeDocument/2006/relationships/hyperlink" Target="https://youtu.be/4fE9U3-lcJ4" TargetMode="External"/><Relationship Id="rId69" Type="http://schemas.openxmlformats.org/officeDocument/2006/relationships/hyperlink" Target="https://youtu.be/8Tnm2HBv12w" TargetMode="External"/><Relationship Id="rId134" Type="http://schemas.openxmlformats.org/officeDocument/2006/relationships/hyperlink" Target="https://youtu.be/CoFtKP_z4_s" TargetMode="External"/><Relationship Id="rId579" Type="http://schemas.openxmlformats.org/officeDocument/2006/relationships/hyperlink" Target="https://youtu.be/C1iHiewEZQA" TargetMode="External"/><Relationship Id="rId786" Type="http://schemas.openxmlformats.org/officeDocument/2006/relationships/hyperlink" Target="https://youtu.be/J49SVI6kCjA" TargetMode="External"/><Relationship Id="rId341" Type="http://schemas.openxmlformats.org/officeDocument/2006/relationships/hyperlink" Target="https://youtu.be/9MJRNX45JnA" TargetMode="External"/><Relationship Id="rId439" Type="http://schemas.openxmlformats.org/officeDocument/2006/relationships/hyperlink" Target="https://youtu.be/AJmCNoi9NTI" TargetMode="External"/><Relationship Id="rId646" Type="http://schemas.openxmlformats.org/officeDocument/2006/relationships/hyperlink" Target="https://youtu.be/L-rQmj3xMkI" TargetMode="External"/><Relationship Id="rId201" Type="http://schemas.openxmlformats.org/officeDocument/2006/relationships/hyperlink" Target="https://youtu.be/ZHmElaAAmS8" TargetMode="External"/><Relationship Id="rId285" Type="http://schemas.openxmlformats.org/officeDocument/2006/relationships/hyperlink" Target="https://youtu.be/f_EgpOxw4q0" TargetMode="External"/><Relationship Id="rId506" Type="http://schemas.openxmlformats.org/officeDocument/2006/relationships/hyperlink" Target="https://youtu.be/odznZuIMh2I" TargetMode="External"/><Relationship Id="rId492" Type="http://schemas.openxmlformats.org/officeDocument/2006/relationships/hyperlink" Target="https://youtu.be/X_RMPEK96mY" TargetMode="External"/><Relationship Id="rId713" Type="http://schemas.openxmlformats.org/officeDocument/2006/relationships/hyperlink" Target="https://youtu.be/7MTR1GmxCsY" TargetMode="External"/><Relationship Id="rId797" Type="http://schemas.openxmlformats.org/officeDocument/2006/relationships/hyperlink" Target="https://youtu.be/gOw_iAMYfM0" TargetMode="External"/><Relationship Id="rId145" Type="http://schemas.openxmlformats.org/officeDocument/2006/relationships/hyperlink" Target="https://youtu.be/tjcjZ1_x8mw" TargetMode="External"/><Relationship Id="rId352" Type="http://schemas.openxmlformats.org/officeDocument/2006/relationships/hyperlink" Target="https://youtu.be/wSsb8lz1L7A" TargetMode="External"/><Relationship Id="rId212" Type="http://schemas.openxmlformats.org/officeDocument/2006/relationships/hyperlink" Target="https://youtu.be/fsJcVbDpAOE" TargetMode="External"/><Relationship Id="rId657" Type="http://schemas.openxmlformats.org/officeDocument/2006/relationships/hyperlink" Target="https://youtu.be/7e7RgvT5zUw" TargetMode="External"/><Relationship Id="rId296" Type="http://schemas.openxmlformats.org/officeDocument/2006/relationships/hyperlink" Target="https://youtu.be/R66OoqwVV9I" TargetMode="External"/><Relationship Id="rId517" Type="http://schemas.openxmlformats.org/officeDocument/2006/relationships/hyperlink" Target="https://youtu.be/Fqt-upBZUFo" TargetMode="External"/><Relationship Id="rId724" Type="http://schemas.openxmlformats.org/officeDocument/2006/relationships/hyperlink" Target="https://youtu.be/48JGnEIocCc" TargetMode="External"/><Relationship Id="rId60" Type="http://schemas.openxmlformats.org/officeDocument/2006/relationships/hyperlink" Target="https://youtu.be/bDVrHTuVaxM" TargetMode="External"/><Relationship Id="rId156" Type="http://schemas.openxmlformats.org/officeDocument/2006/relationships/hyperlink" Target="https://youtu.be/9pCqsvyxtLU" TargetMode="External"/><Relationship Id="rId363" Type="http://schemas.openxmlformats.org/officeDocument/2006/relationships/hyperlink" Target="https://youtu.be/Xht08ZGbkko" TargetMode="External"/><Relationship Id="rId570" Type="http://schemas.openxmlformats.org/officeDocument/2006/relationships/hyperlink" Target="https://youtu.be/ONMztFZKyUQ" TargetMode="External"/><Relationship Id="rId223" Type="http://schemas.openxmlformats.org/officeDocument/2006/relationships/hyperlink" Target="https://youtu.be/FPk8aEQwa5g" TargetMode="External"/><Relationship Id="rId430" Type="http://schemas.openxmlformats.org/officeDocument/2006/relationships/hyperlink" Target="https://www.youtube.com/watch?v=1CdLhVO5haE&amp;t=12s" TargetMode="External"/><Relationship Id="rId668" Type="http://schemas.openxmlformats.org/officeDocument/2006/relationships/hyperlink" Target="https://youtu.be/AwXHHf2C2v8" TargetMode="External"/><Relationship Id="rId18" Type="http://schemas.openxmlformats.org/officeDocument/2006/relationships/hyperlink" Target="https://youtu.be/5qT4xo8dY4Q" TargetMode="External"/><Relationship Id="rId528" Type="http://schemas.openxmlformats.org/officeDocument/2006/relationships/hyperlink" Target="https://youtu.be/lIzsuUA2LJY" TargetMode="External"/><Relationship Id="rId735" Type="http://schemas.openxmlformats.org/officeDocument/2006/relationships/hyperlink" Target="https://youtu.be/VDAyA1nfWtM" TargetMode="External"/><Relationship Id="rId167" Type="http://schemas.openxmlformats.org/officeDocument/2006/relationships/hyperlink" Target="https://youtu.be/lLofV6ZAWMM" TargetMode="External"/><Relationship Id="rId374" Type="http://schemas.openxmlformats.org/officeDocument/2006/relationships/hyperlink" Target="https://youtu.be/ZNxqW2TnOUI" TargetMode="External"/><Relationship Id="rId581" Type="http://schemas.openxmlformats.org/officeDocument/2006/relationships/hyperlink" Target="https://youtu.be/ZQaS5KjxSLQ" TargetMode="External"/><Relationship Id="rId71" Type="http://schemas.openxmlformats.org/officeDocument/2006/relationships/hyperlink" Target="https://youtu.be/RSs7GY-0Itw" TargetMode="External"/><Relationship Id="rId234" Type="http://schemas.openxmlformats.org/officeDocument/2006/relationships/hyperlink" Target="https://youtu.be/YzlTtsTlDOM" TargetMode="External"/><Relationship Id="rId679" Type="http://schemas.openxmlformats.org/officeDocument/2006/relationships/hyperlink" Target="https://youtu.be/OuZ722lFVtM" TargetMode="External"/><Relationship Id="rId802" Type="http://schemas.openxmlformats.org/officeDocument/2006/relationships/hyperlink" Target="https://youtu.be/PyeIPu2doQw" TargetMode="External"/><Relationship Id="rId2" Type="http://schemas.openxmlformats.org/officeDocument/2006/relationships/hyperlink" Target="https://youtu.be/6ZKi1TborVg" TargetMode="External"/><Relationship Id="rId29" Type="http://schemas.openxmlformats.org/officeDocument/2006/relationships/hyperlink" Target="https://youtu.be/SCt4OZceG-U" TargetMode="External"/><Relationship Id="rId441" Type="http://schemas.openxmlformats.org/officeDocument/2006/relationships/hyperlink" Target="https://youtu.be/WuzoIGdOuE8" TargetMode="External"/><Relationship Id="rId539" Type="http://schemas.openxmlformats.org/officeDocument/2006/relationships/hyperlink" Target="https://youtu.be/2BrItqzGUMQ" TargetMode="External"/><Relationship Id="rId746" Type="http://schemas.openxmlformats.org/officeDocument/2006/relationships/hyperlink" Target="https://youtu.be/m4M1VBkYZhU" TargetMode="External"/><Relationship Id="rId178" Type="http://schemas.openxmlformats.org/officeDocument/2006/relationships/hyperlink" Target="https://youtu.be/w56j-u3PBBI" TargetMode="External"/><Relationship Id="rId301" Type="http://schemas.openxmlformats.org/officeDocument/2006/relationships/hyperlink" Target="https://youtu.be/TFNqFqL6mpw" TargetMode="External"/><Relationship Id="rId82" Type="http://schemas.openxmlformats.org/officeDocument/2006/relationships/hyperlink" Target="https://youtu.be/26zpa9b46-A" TargetMode="External"/><Relationship Id="rId385" Type="http://schemas.openxmlformats.org/officeDocument/2006/relationships/hyperlink" Target="https://youtu.be/6uYUiLXyA6o" TargetMode="External"/><Relationship Id="rId592" Type="http://schemas.openxmlformats.org/officeDocument/2006/relationships/hyperlink" Target="https://youtu.be/t4jMJ_Ga-3U" TargetMode="External"/><Relationship Id="rId606" Type="http://schemas.openxmlformats.org/officeDocument/2006/relationships/hyperlink" Target="https://youtu.be/4zsz0uz0u78" TargetMode="External"/><Relationship Id="rId813" Type="http://schemas.openxmlformats.org/officeDocument/2006/relationships/hyperlink" Target="https://youtu.be/taOz-jBEL0c" TargetMode="External"/><Relationship Id="rId245" Type="http://schemas.openxmlformats.org/officeDocument/2006/relationships/hyperlink" Target="https://youtu.be/7wJaPWErNfA" TargetMode="External"/><Relationship Id="rId452" Type="http://schemas.openxmlformats.org/officeDocument/2006/relationships/hyperlink" Target="https://youtu.be/3arc_V7osNo" TargetMode="External"/><Relationship Id="rId105" Type="http://schemas.openxmlformats.org/officeDocument/2006/relationships/hyperlink" Target="https://youtu.be/MFc5mbaNtw4" TargetMode="External"/><Relationship Id="rId312" Type="http://schemas.openxmlformats.org/officeDocument/2006/relationships/hyperlink" Target="https://youtu.be/IMMMMnZHhOE" TargetMode="External"/><Relationship Id="rId757" Type="http://schemas.openxmlformats.org/officeDocument/2006/relationships/hyperlink" Target="https://youtu.be/Fu0ziq7x9so" TargetMode="External"/><Relationship Id="rId93" Type="http://schemas.openxmlformats.org/officeDocument/2006/relationships/hyperlink" Target="https://youtu.be/kRzHKilMZ8o" TargetMode="External"/><Relationship Id="rId189" Type="http://schemas.openxmlformats.org/officeDocument/2006/relationships/hyperlink" Target="https://youtu.be/j62DYUW4Dgs" TargetMode="External"/><Relationship Id="rId396" Type="http://schemas.openxmlformats.org/officeDocument/2006/relationships/hyperlink" Target="https://youtu.be/LWiKjD57oh4" TargetMode="External"/><Relationship Id="rId617" Type="http://schemas.openxmlformats.org/officeDocument/2006/relationships/hyperlink" Target="https://youtu.be/E1SAXKqWukw" TargetMode="External"/><Relationship Id="rId824" Type="http://schemas.openxmlformats.org/officeDocument/2006/relationships/hyperlink" Target="https://youtu.be/4lYbkCYeVHg" TargetMode="External"/><Relationship Id="rId256" Type="http://schemas.openxmlformats.org/officeDocument/2006/relationships/hyperlink" Target="https://youtu.be/dc2mSr0fXjY" TargetMode="External"/><Relationship Id="rId463" Type="http://schemas.openxmlformats.org/officeDocument/2006/relationships/hyperlink" Target="https://youtu.be/UWgqax1F9N8" TargetMode="External"/><Relationship Id="rId670" Type="http://schemas.openxmlformats.org/officeDocument/2006/relationships/hyperlink" Target="https://youtu.be/SeVy0by8pL4" TargetMode="External"/><Relationship Id="rId116" Type="http://schemas.openxmlformats.org/officeDocument/2006/relationships/hyperlink" Target="https://youtu.be/rxQIqGlHJoo" TargetMode="External"/><Relationship Id="rId323" Type="http://schemas.openxmlformats.org/officeDocument/2006/relationships/hyperlink" Target="https://youtu.be/cHDO0BYTWO0" TargetMode="External"/><Relationship Id="rId530" Type="http://schemas.openxmlformats.org/officeDocument/2006/relationships/hyperlink" Target="https://youtu.be/eEnIuI5ZtbA" TargetMode="External"/><Relationship Id="rId768" Type="http://schemas.openxmlformats.org/officeDocument/2006/relationships/hyperlink" Target="https://youtu.be/Apoe8XVbJUw" TargetMode="External"/><Relationship Id="rId20" Type="http://schemas.openxmlformats.org/officeDocument/2006/relationships/hyperlink" Target="https://youtu.be/-eFyit2BXR8" TargetMode="External"/><Relationship Id="rId628" Type="http://schemas.openxmlformats.org/officeDocument/2006/relationships/hyperlink" Target="https://youtu.be/m2JxrJfJYig" TargetMode="External"/><Relationship Id="rId835" Type="http://schemas.openxmlformats.org/officeDocument/2006/relationships/hyperlink" Target="https://youtu.be/z3MPfdkX6F0" TargetMode="External"/><Relationship Id="rId267" Type="http://schemas.openxmlformats.org/officeDocument/2006/relationships/hyperlink" Target="https://youtu.be/oC8IpvJZPTk" TargetMode="External"/><Relationship Id="rId474" Type="http://schemas.openxmlformats.org/officeDocument/2006/relationships/hyperlink" Target="https://youtu.be/D6h_H6XWlWY" TargetMode="External"/><Relationship Id="rId127" Type="http://schemas.openxmlformats.org/officeDocument/2006/relationships/hyperlink" Target="https://youtu.be/yUIDpviE-Qo" TargetMode="External"/><Relationship Id="rId681" Type="http://schemas.openxmlformats.org/officeDocument/2006/relationships/hyperlink" Target="https://youtu.be/-39VBlMzuRI" TargetMode="External"/><Relationship Id="rId779" Type="http://schemas.openxmlformats.org/officeDocument/2006/relationships/hyperlink" Target="https://youtu.be/FRs_1qbB77Y" TargetMode="External"/><Relationship Id="rId31" Type="http://schemas.openxmlformats.org/officeDocument/2006/relationships/hyperlink" Target="https://youtu.be/Aao_xIu7WeE" TargetMode="External"/><Relationship Id="rId334" Type="http://schemas.openxmlformats.org/officeDocument/2006/relationships/hyperlink" Target="https://youtu.be/q8QTZU23Htk" TargetMode="External"/><Relationship Id="rId541" Type="http://schemas.openxmlformats.org/officeDocument/2006/relationships/hyperlink" Target="https://youtu.be/tUY4QsuSxzs" TargetMode="External"/><Relationship Id="rId639" Type="http://schemas.openxmlformats.org/officeDocument/2006/relationships/hyperlink" Target="https://youtu.be/d5PoFKNqzxg" TargetMode="External"/><Relationship Id="rId180" Type="http://schemas.openxmlformats.org/officeDocument/2006/relationships/hyperlink" Target="https://youtu.be/6_36XTd4WdU" TargetMode="External"/><Relationship Id="rId278" Type="http://schemas.openxmlformats.org/officeDocument/2006/relationships/hyperlink" Target="https://youtu.be/CY5QsVtjgzY" TargetMode="External"/><Relationship Id="rId401" Type="http://schemas.openxmlformats.org/officeDocument/2006/relationships/hyperlink" Target="https://youtu.be/_5usuvRrm2k" TargetMode="External"/><Relationship Id="rId846" Type="http://schemas.openxmlformats.org/officeDocument/2006/relationships/hyperlink" Target="https://youtu.be/DL5iSh5JI6I" TargetMode="External"/><Relationship Id="rId485" Type="http://schemas.openxmlformats.org/officeDocument/2006/relationships/hyperlink" Target="https://youtu.be/fuBOPZNABwg" TargetMode="External"/><Relationship Id="rId692" Type="http://schemas.openxmlformats.org/officeDocument/2006/relationships/hyperlink" Target="https://youtu.be/hsoBHM8FuvA" TargetMode="External"/><Relationship Id="rId706" Type="http://schemas.openxmlformats.org/officeDocument/2006/relationships/hyperlink" Target="https://youtu.be/D3RWXbSw-d0" TargetMode="External"/><Relationship Id="rId42" Type="http://schemas.openxmlformats.org/officeDocument/2006/relationships/hyperlink" Target="https://youtu.be/--miCIhtTYM" TargetMode="External"/><Relationship Id="rId138" Type="http://schemas.openxmlformats.org/officeDocument/2006/relationships/hyperlink" Target="https://youtu.be/t5xYuDVeLr4" TargetMode="External"/><Relationship Id="rId345" Type="http://schemas.openxmlformats.org/officeDocument/2006/relationships/hyperlink" Target="https://youtu.be/6Jx8QEybuGU" TargetMode="External"/><Relationship Id="rId552" Type="http://schemas.openxmlformats.org/officeDocument/2006/relationships/hyperlink" Target="https://youtu.be/5v66KyZ4Zbg" TargetMode="External"/><Relationship Id="rId191" Type="http://schemas.openxmlformats.org/officeDocument/2006/relationships/hyperlink" Target="https://youtu.be/GW8Y629JkVQ" TargetMode="External"/><Relationship Id="rId205" Type="http://schemas.openxmlformats.org/officeDocument/2006/relationships/hyperlink" Target="https://youtu.be/kDbsbHcaR_E" TargetMode="External"/><Relationship Id="rId412" Type="http://schemas.openxmlformats.org/officeDocument/2006/relationships/hyperlink" Target="https://youtu.be/OtM4zPldSOU" TargetMode="External"/><Relationship Id="rId289" Type="http://schemas.openxmlformats.org/officeDocument/2006/relationships/hyperlink" Target="https://youtu.be/xNPmh1TMndc" TargetMode="External"/><Relationship Id="rId496" Type="http://schemas.openxmlformats.org/officeDocument/2006/relationships/hyperlink" Target="https://youtu.be/VGy8zU90oC8" TargetMode="External"/><Relationship Id="rId717" Type="http://schemas.openxmlformats.org/officeDocument/2006/relationships/hyperlink" Target="https://youtu.be/rkB6pA_xPRw" TargetMode="External"/><Relationship Id="rId53" Type="http://schemas.openxmlformats.org/officeDocument/2006/relationships/hyperlink" Target="https://youtu.be/VWFaoQPaxmk" TargetMode="External"/><Relationship Id="rId149" Type="http://schemas.openxmlformats.org/officeDocument/2006/relationships/hyperlink" Target="https://youtu.be/pngrmSs6dAc" TargetMode="External"/><Relationship Id="rId356" Type="http://schemas.openxmlformats.org/officeDocument/2006/relationships/hyperlink" Target="https://youtu.be/mfcTK6_LloQ" TargetMode="External"/><Relationship Id="rId563" Type="http://schemas.openxmlformats.org/officeDocument/2006/relationships/hyperlink" Target="https://youtu.be/4jHlBGkxvv8" TargetMode="External"/><Relationship Id="rId770" Type="http://schemas.openxmlformats.org/officeDocument/2006/relationships/hyperlink" Target="https://youtu.be/qDj-WRycQbY" TargetMode="External"/><Relationship Id="rId216" Type="http://schemas.openxmlformats.org/officeDocument/2006/relationships/hyperlink" Target="https://youtu.be/ryLa0Z2v6aw" TargetMode="External"/><Relationship Id="rId423" Type="http://schemas.openxmlformats.org/officeDocument/2006/relationships/hyperlink" Target="https://www.youtube.com/watch?v=8dLDnRyZyIo&amp;t=6s" TargetMode="External"/><Relationship Id="rId630" Type="http://schemas.openxmlformats.org/officeDocument/2006/relationships/hyperlink" Target="https://youtu.be/-ndRL_4bnAs" TargetMode="External"/><Relationship Id="rId728" Type="http://schemas.openxmlformats.org/officeDocument/2006/relationships/hyperlink" Target="https://youtu.be/-eNh7LBkIPg" TargetMode="External"/><Relationship Id="rId64" Type="http://schemas.openxmlformats.org/officeDocument/2006/relationships/hyperlink" Target="https://youtu.be/fmtL8_lkOCM" TargetMode="External"/><Relationship Id="rId367" Type="http://schemas.openxmlformats.org/officeDocument/2006/relationships/hyperlink" Target="https://youtu.be/2fQX_ab8ae0" TargetMode="External"/><Relationship Id="rId574" Type="http://schemas.openxmlformats.org/officeDocument/2006/relationships/hyperlink" Target="https://youtu.be/nm4l124dQi0" TargetMode="External"/><Relationship Id="rId227" Type="http://schemas.openxmlformats.org/officeDocument/2006/relationships/hyperlink" Target="https://youtu.be/m8a3WQLanJY" TargetMode="External"/><Relationship Id="rId781" Type="http://schemas.openxmlformats.org/officeDocument/2006/relationships/hyperlink" Target="https://youtu.be/B4jdsLPljbg" TargetMode="External"/><Relationship Id="rId434" Type="http://schemas.openxmlformats.org/officeDocument/2006/relationships/hyperlink" Target="https://youtu.be/je299CED6UM" TargetMode="External"/><Relationship Id="rId641" Type="http://schemas.openxmlformats.org/officeDocument/2006/relationships/hyperlink" Target="https://youtu.be/f_h3Xm5lTdY" TargetMode="External"/><Relationship Id="rId739" Type="http://schemas.openxmlformats.org/officeDocument/2006/relationships/hyperlink" Target="https://youtu.be/9Z6PQwEzvY8" TargetMode="External"/><Relationship Id="rId280" Type="http://schemas.openxmlformats.org/officeDocument/2006/relationships/hyperlink" Target="https://youtu.be/cHLcaiJ9Fqo" TargetMode="External"/><Relationship Id="rId501" Type="http://schemas.openxmlformats.org/officeDocument/2006/relationships/hyperlink" Target="https://youtu.be/0E3qENEHT3A" TargetMode="External"/><Relationship Id="rId75" Type="http://schemas.openxmlformats.org/officeDocument/2006/relationships/hyperlink" Target="https://youtu.be/DIHlOzOvEu8" TargetMode="External"/><Relationship Id="rId140" Type="http://schemas.openxmlformats.org/officeDocument/2006/relationships/hyperlink" Target="https://youtu.be/Si9GApckO-E" TargetMode="External"/><Relationship Id="rId378" Type="http://schemas.openxmlformats.org/officeDocument/2006/relationships/hyperlink" Target="https://youtu.be/zIQLfrJQcBw" TargetMode="External"/><Relationship Id="rId585" Type="http://schemas.openxmlformats.org/officeDocument/2006/relationships/hyperlink" Target="https://youtu.be/xvFxnWZMu3w" TargetMode="External"/><Relationship Id="rId792" Type="http://schemas.openxmlformats.org/officeDocument/2006/relationships/hyperlink" Target="https://youtu.be/wr6Eevgs0-A" TargetMode="External"/><Relationship Id="rId806" Type="http://schemas.openxmlformats.org/officeDocument/2006/relationships/hyperlink" Target="https://youtu.be/7HBtOmlP1LE" TargetMode="External"/><Relationship Id="rId6" Type="http://schemas.openxmlformats.org/officeDocument/2006/relationships/hyperlink" Target="https://youtu.be/I1PdweOpHj4" TargetMode="External"/><Relationship Id="rId238" Type="http://schemas.openxmlformats.org/officeDocument/2006/relationships/hyperlink" Target="https://youtu.be/yTzhHtGFuzw" TargetMode="External"/><Relationship Id="rId445" Type="http://schemas.openxmlformats.org/officeDocument/2006/relationships/hyperlink" Target="https://youtu.be/TFrVaC8JMVQ" TargetMode="External"/><Relationship Id="rId652" Type="http://schemas.openxmlformats.org/officeDocument/2006/relationships/hyperlink" Target="https://youtu.be/AASk-CP-J88" TargetMode="External"/><Relationship Id="rId291" Type="http://schemas.openxmlformats.org/officeDocument/2006/relationships/hyperlink" Target="https://youtu.be/DGzGQQRrDYs" TargetMode="External"/><Relationship Id="rId305" Type="http://schemas.openxmlformats.org/officeDocument/2006/relationships/hyperlink" Target="https://youtu.be/36EWnhPrnO0" TargetMode="External"/><Relationship Id="rId512" Type="http://schemas.openxmlformats.org/officeDocument/2006/relationships/hyperlink" Target="https://youtu.be/19Gl-NkKwdg" TargetMode="External"/><Relationship Id="rId86" Type="http://schemas.openxmlformats.org/officeDocument/2006/relationships/hyperlink" Target="https://youtu.be/_nuLbDZO20c" TargetMode="External"/><Relationship Id="rId151" Type="http://schemas.openxmlformats.org/officeDocument/2006/relationships/hyperlink" Target="https://youtu.be/J3cKYpM1Bi0" TargetMode="External"/><Relationship Id="rId389" Type="http://schemas.openxmlformats.org/officeDocument/2006/relationships/hyperlink" Target="https://youtu.be/rcIBfpBLRz4" TargetMode="External"/><Relationship Id="rId596" Type="http://schemas.openxmlformats.org/officeDocument/2006/relationships/hyperlink" Target="https://youtu.be/DOITQ9x-G2Y" TargetMode="External"/><Relationship Id="rId817" Type="http://schemas.openxmlformats.org/officeDocument/2006/relationships/hyperlink" Target="https://youtu.be/2NqtdymZB7o" TargetMode="External"/><Relationship Id="rId249" Type="http://schemas.openxmlformats.org/officeDocument/2006/relationships/hyperlink" Target="https://youtu.be/BmaYb6YSD9Y" TargetMode="External"/><Relationship Id="rId456" Type="http://schemas.openxmlformats.org/officeDocument/2006/relationships/hyperlink" Target="https://youtu.be/VMCuzn-fHKo" TargetMode="External"/><Relationship Id="rId663" Type="http://schemas.openxmlformats.org/officeDocument/2006/relationships/hyperlink" Target="https://youtu.be/CvSbIY4f0GU" TargetMode="External"/><Relationship Id="rId13" Type="http://schemas.openxmlformats.org/officeDocument/2006/relationships/hyperlink" Target="https://youtu.be/S9EcaMVmphg" TargetMode="External"/><Relationship Id="rId109" Type="http://schemas.openxmlformats.org/officeDocument/2006/relationships/hyperlink" Target="https://youtu.be/72vWt0JKPrY" TargetMode="External"/><Relationship Id="rId316" Type="http://schemas.openxmlformats.org/officeDocument/2006/relationships/hyperlink" Target="https://youtu.be/wiY1gEgx5x0" TargetMode="External"/><Relationship Id="rId523" Type="http://schemas.openxmlformats.org/officeDocument/2006/relationships/hyperlink" Target="https://youtu.be/mAV5WjcFjX0" TargetMode="External"/><Relationship Id="rId97" Type="http://schemas.openxmlformats.org/officeDocument/2006/relationships/hyperlink" Target="https://youtu.be/ztZHBuqVnaE" TargetMode="External"/><Relationship Id="rId730" Type="http://schemas.openxmlformats.org/officeDocument/2006/relationships/hyperlink" Target="https://youtu.be/6QdqsKPLEA4" TargetMode="External"/><Relationship Id="rId828" Type="http://schemas.openxmlformats.org/officeDocument/2006/relationships/hyperlink" Target="https://youtu.be/mDnjeOijhQo" TargetMode="External"/><Relationship Id="rId162" Type="http://schemas.openxmlformats.org/officeDocument/2006/relationships/hyperlink" Target="https://youtu.be/7SbMmZEZ728" TargetMode="External"/><Relationship Id="rId467" Type="http://schemas.openxmlformats.org/officeDocument/2006/relationships/hyperlink" Target="https://youtu.be/KShOja8pFLQ" TargetMode="External"/><Relationship Id="rId674" Type="http://schemas.openxmlformats.org/officeDocument/2006/relationships/hyperlink" Target="https://youtu.be/CoXqJJ0SKEo" TargetMode="External"/><Relationship Id="rId24" Type="http://schemas.openxmlformats.org/officeDocument/2006/relationships/hyperlink" Target="https://youtu.be/n7V0hGj2oww" TargetMode="External"/><Relationship Id="rId327" Type="http://schemas.openxmlformats.org/officeDocument/2006/relationships/hyperlink" Target="https://youtu.be/EDbHjw1VbcI" TargetMode="External"/><Relationship Id="rId534" Type="http://schemas.openxmlformats.org/officeDocument/2006/relationships/hyperlink" Target="https://youtu.be/QVtWygaj_LA" TargetMode="External"/><Relationship Id="rId741" Type="http://schemas.openxmlformats.org/officeDocument/2006/relationships/hyperlink" Target="https://youtu.be/4hbTgWDM1ms" TargetMode="External"/><Relationship Id="rId839" Type="http://schemas.openxmlformats.org/officeDocument/2006/relationships/hyperlink" Target="https://youtu.bemopnpdwH4RA" TargetMode="External"/><Relationship Id="rId173" Type="http://schemas.openxmlformats.org/officeDocument/2006/relationships/hyperlink" Target="https://youtu.be/3PyH050XiSo" TargetMode="External"/><Relationship Id="rId229" Type="http://schemas.openxmlformats.org/officeDocument/2006/relationships/hyperlink" Target="https://youtu.be/wRSowWXTk4U" TargetMode="External"/><Relationship Id="rId380" Type="http://schemas.openxmlformats.org/officeDocument/2006/relationships/hyperlink" Target="https://youtu.be/vACNJ5yrXi0" TargetMode="External"/><Relationship Id="rId436" Type="http://schemas.openxmlformats.org/officeDocument/2006/relationships/hyperlink" Target="https://youtu.be/OfUOngevn8s" TargetMode="External"/><Relationship Id="rId601" Type="http://schemas.openxmlformats.org/officeDocument/2006/relationships/hyperlink" Target="https://youtu.be/zS72bOJ3DZw" TargetMode="External"/><Relationship Id="rId643" Type="http://schemas.openxmlformats.org/officeDocument/2006/relationships/hyperlink" Target="https://youtu.be/GGKLbcpO_DY" TargetMode="External"/><Relationship Id="rId240" Type="http://schemas.openxmlformats.org/officeDocument/2006/relationships/hyperlink" Target="https://youtu.be/igX54iAZ-5Q" TargetMode="External"/><Relationship Id="rId478" Type="http://schemas.openxmlformats.org/officeDocument/2006/relationships/hyperlink" Target="https://youtu.be/mDfcXjAC0u8" TargetMode="External"/><Relationship Id="rId685" Type="http://schemas.openxmlformats.org/officeDocument/2006/relationships/hyperlink" Target="https://youtu.be/wz6lFJKZGak" TargetMode="External"/><Relationship Id="rId850" Type="http://schemas.microsoft.com/office/2019/04/relationships/documenttask" Target="../documenttasks/documenttask4.xml"/><Relationship Id="rId35" Type="http://schemas.openxmlformats.org/officeDocument/2006/relationships/hyperlink" Target="https://youtu.be/VOQCsdbg8_g" TargetMode="External"/><Relationship Id="rId77" Type="http://schemas.openxmlformats.org/officeDocument/2006/relationships/hyperlink" Target="https://youtu.be/r2oXE6wnv3c" TargetMode="External"/><Relationship Id="rId100" Type="http://schemas.openxmlformats.org/officeDocument/2006/relationships/hyperlink" Target="https://youtu.be/ceyS_YTfkm0" TargetMode="External"/><Relationship Id="rId282" Type="http://schemas.openxmlformats.org/officeDocument/2006/relationships/hyperlink" Target="https://youtu.be/8e8iGJ_rUhY" TargetMode="External"/><Relationship Id="rId338" Type="http://schemas.openxmlformats.org/officeDocument/2006/relationships/hyperlink" Target="https://youtu.be/VrMoa_R--8Y" TargetMode="External"/><Relationship Id="rId503" Type="http://schemas.openxmlformats.org/officeDocument/2006/relationships/hyperlink" Target="https://youtu.be/6zgp3wPvopM" TargetMode="External"/><Relationship Id="rId545" Type="http://schemas.openxmlformats.org/officeDocument/2006/relationships/hyperlink" Target="https://youtu.be/6cqXj56RT60" TargetMode="External"/><Relationship Id="rId587" Type="http://schemas.openxmlformats.org/officeDocument/2006/relationships/hyperlink" Target="https://youtu.be/QFSzlJHWvPo" TargetMode="External"/><Relationship Id="rId710" Type="http://schemas.openxmlformats.org/officeDocument/2006/relationships/hyperlink" Target="https://youtu.be/naaZMnNjtBw" TargetMode="External"/><Relationship Id="rId752" Type="http://schemas.openxmlformats.org/officeDocument/2006/relationships/hyperlink" Target="https://youtu.be/VUHcnmr_1jk" TargetMode="External"/><Relationship Id="rId808" Type="http://schemas.openxmlformats.org/officeDocument/2006/relationships/hyperlink" Target="https://youtu.be/uegrb5pesFk" TargetMode="External"/><Relationship Id="rId8" Type="http://schemas.openxmlformats.org/officeDocument/2006/relationships/hyperlink" Target="https://youtu.be/Bxu0SV52KAs" TargetMode="External"/><Relationship Id="rId142" Type="http://schemas.openxmlformats.org/officeDocument/2006/relationships/hyperlink" Target="https://youtu.be/t4jGJDDWqxI" TargetMode="External"/><Relationship Id="rId184" Type="http://schemas.openxmlformats.org/officeDocument/2006/relationships/hyperlink" Target="https://youtu.be/JO786bTVnlM" TargetMode="External"/><Relationship Id="rId391" Type="http://schemas.openxmlformats.org/officeDocument/2006/relationships/hyperlink" Target="https://youtu.be/_WNwWlDxhh8" TargetMode="External"/><Relationship Id="rId405" Type="http://schemas.openxmlformats.org/officeDocument/2006/relationships/hyperlink" Target="https://youtu.be/U5kalb0Mc14" TargetMode="External"/><Relationship Id="rId447" Type="http://schemas.openxmlformats.org/officeDocument/2006/relationships/hyperlink" Target="https://youtu.be/E59ePwLiXtM" TargetMode="External"/><Relationship Id="rId612" Type="http://schemas.openxmlformats.org/officeDocument/2006/relationships/hyperlink" Target="https://youtu.be/JaXoD7Pzbew" TargetMode="External"/><Relationship Id="rId794" Type="http://schemas.openxmlformats.org/officeDocument/2006/relationships/hyperlink" Target="https://youtu.be/X79KBN3PDx0" TargetMode="External"/><Relationship Id="rId251" Type="http://schemas.openxmlformats.org/officeDocument/2006/relationships/hyperlink" Target="https://youtu.be/CMG6j2aiW7A" TargetMode="External"/><Relationship Id="rId489" Type="http://schemas.openxmlformats.org/officeDocument/2006/relationships/hyperlink" Target="https://youtu.be/fjrCyzpN0uI" TargetMode="External"/><Relationship Id="rId654" Type="http://schemas.openxmlformats.org/officeDocument/2006/relationships/hyperlink" Target="https://youtu.be/McVt05VV8lo" TargetMode="External"/><Relationship Id="rId696" Type="http://schemas.openxmlformats.org/officeDocument/2006/relationships/hyperlink" Target="https://youtu.be/zDPzsxcSOK8" TargetMode="External"/><Relationship Id="rId46" Type="http://schemas.openxmlformats.org/officeDocument/2006/relationships/hyperlink" Target="https://youtu.be/D8-PdKrR-D8" TargetMode="External"/><Relationship Id="rId293" Type="http://schemas.openxmlformats.org/officeDocument/2006/relationships/hyperlink" Target="https://youtu.be/owKfhD4Qxjc" TargetMode="External"/><Relationship Id="rId307" Type="http://schemas.openxmlformats.org/officeDocument/2006/relationships/hyperlink" Target="https://youtu.be/7JFNxWHJYVY" TargetMode="External"/><Relationship Id="rId349" Type="http://schemas.openxmlformats.org/officeDocument/2006/relationships/hyperlink" Target="https://youtu.be/UtMleuWiH38" TargetMode="External"/><Relationship Id="rId514" Type="http://schemas.openxmlformats.org/officeDocument/2006/relationships/hyperlink" Target="https://youtu.be/Q2meFBbszgg" TargetMode="External"/><Relationship Id="rId556" Type="http://schemas.openxmlformats.org/officeDocument/2006/relationships/hyperlink" Target="https://youtu.be/SNEo2-m_d74" TargetMode="External"/><Relationship Id="rId721" Type="http://schemas.openxmlformats.org/officeDocument/2006/relationships/hyperlink" Target="https://youtu.be/u_uTvxgH4yw" TargetMode="External"/><Relationship Id="rId763" Type="http://schemas.openxmlformats.org/officeDocument/2006/relationships/hyperlink" Target="https://youtu.be/5nCL2jYW9SY" TargetMode="External"/><Relationship Id="rId88" Type="http://schemas.openxmlformats.org/officeDocument/2006/relationships/hyperlink" Target="https://youtu.be/xMKQo5QAzAk" TargetMode="External"/><Relationship Id="rId111" Type="http://schemas.openxmlformats.org/officeDocument/2006/relationships/hyperlink" Target="https://youtu.be/IFXHCliZkzg" TargetMode="External"/><Relationship Id="rId153" Type="http://schemas.openxmlformats.org/officeDocument/2006/relationships/hyperlink" Target="https://youtu.be/LtfP7y48Zzc" TargetMode="External"/><Relationship Id="rId195" Type="http://schemas.openxmlformats.org/officeDocument/2006/relationships/hyperlink" Target="https://youtu.be/G7CCtSk4Go0" TargetMode="External"/><Relationship Id="rId209" Type="http://schemas.openxmlformats.org/officeDocument/2006/relationships/hyperlink" Target="https://youtu.be/5fgBkq6W5Y8" TargetMode="External"/><Relationship Id="rId360" Type="http://schemas.openxmlformats.org/officeDocument/2006/relationships/hyperlink" Target="https://youtu.be/dJIVtDe6VW0" TargetMode="External"/><Relationship Id="rId416" Type="http://schemas.openxmlformats.org/officeDocument/2006/relationships/hyperlink" Target="https://youtu.be/F9aqNsvpnwo" TargetMode="External"/><Relationship Id="rId598" Type="http://schemas.openxmlformats.org/officeDocument/2006/relationships/hyperlink" Target="https://youtu.be/iWOu2YLwoJc" TargetMode="External"/><Relationship Id="rId819" Type="http://schemas.openxmlformats.org/officeDocument/2006/relationships/hyperlink" Target="https://youtu.be/Qke_yc9rbxg" TargetMode="External"/><Relationship Id="rId220" Type="http://schemas.openxmlformats.org/officeDocument/2006/relationships/hyperlink" Target="https://youtu.be/TXqAig39h68" TargetMode="External"/><Relationship Id="rId458" Type="http://schemas.openxmlformats.org/officeDocument/2006/relationships/hyperlink" Target="https://youtu.be/d_-GPwL7Ckw" TargetMode="External"/><Relationship Id="rId623" Type="http://schemas.openxmlformats.org/officeDocument/2006/relationships/hyperlink" Target="https://youtu.be/cQH4Lnay3hQ" TargetMode="External"/><Relationship Id="rId665" Type="http://schemas.openxmlformats.org/officeDocument/2006/relationships/hyperlink" Target="https://youtu.be/YFjqnRr00GA" TargetMode="External"/><Relationship Id="rId830" Type="http://schemas.openxmlformats.org/officeDocument/2006/relationships/hyperlink" Target="https://youtu.be/HyJxj4LWg4Y" TargetMode="External"/><Relationship Id="rId15" Type="http://schemas.openxmlformats.org/officeDocument/2006/relationships/hyperlink" Target="https://youtu.be/_9UNaPqwEgQ" TargetMode="External"/><Relationship Id="rId57" Type="http://schemas.openxmlformats.org/officeDocument/2006/relationships/hyperlink" Target="https://youtu.be/4ZGGSvfMQPQ" TargetMode="External"/><Relationship Id="rId262" Type="http://schemas.openxmlformats.org/officeDocument/2006/relationships/hyperlink" Target="https://youtu.be/qsxIrDlMdmo" TargetMode="External"/><Relationship Id="rId318" Type="http://schemas.openxmlformats.org/officeDocument/2006/relationships/hyperlink" Target="https://youtu.be/NX25B_t3FjU" TargetMode="External"/><Relationship Id="rId525" Type="http://schemas.openxmlformats.org/officeDocument/2006/relationships/hyperlink" Target="https://youtu.be/SEKIIAaoobg" TargetMode="External"/><Relationship Id="rId567" Type="http://schemas.openxmlformats.org/officeDocument/2006/relationships/hyperlink" Target="https://youtu.be/-IbRgj-CnIk" TargetMode="External"/><Relationship Id="rId732" Type="http://schemas.openxmlformats.org/officeDocument/2006/relationships/hyperlink" Target="https://youtu.be/nKhU3ajFzQc" TargetMode="External"/><Relationship Id="rId99" Type="http://schemas.openxmlformats.org/officeDocument/2006/relationships/hyperlink" Target="https://youtu.be/Pposo6gK2TU" TargetMode="External"/><Relationship Id="rId122" Type="http://schemas.openxmlformats.org/officeDocument/2006/relationships/hyperlink" Target="https://youtu.be/2Pr5pGdhSsM" TargetMode="External"/><Relationship Id="rId164" Type="http://schemas.openxmlformats.org/officeDocument/2006/relationships/hyperlink" Target="https://youtu.be/FW7Anc8ui_w" TargetMode="External"/><Relationship Id="rId371" Type="http://schemas.openxmlformats.org/officeDocument/2006/relationships/hyperlink" Target="https://youtu.be/uP0i7W2aAUk" TargetMode="External"/><Relationship Id="rId774" Type="http://schemas.openxmlformats.org/officeDocument/2006/relationships/hyperlink" Target="https://youtu.be/ksh8mJT9p-8" TargetMode="External"/><Relationship Id="rId427" Type="http://schemas.openxmlformats.org/officeDocument/2006/relationships/hyperlink" Target="https://www.youtube.com/watch?v=FTawmfDJ9tY&amp;t=96s" TargetMode="External"/><Relationship Id="rId469" Type="http://schemas.openxmlformats.org/officeDocument/2006/relationships/hyperlink" Target="https://youtu.be/P8FtayEBWa0" TargetMode="External"/><Relationship Id="rId634" Type="http://schemas.openxmlformats.org/officeDocument/2006/relationships/hyperlink" Target="https://youtu.be/8fh0TUnu2pc" TargetMode="External"/><Relationship Id="rId676" Type="http://schemas.openxmlformats.org/officeDocument/2006/relationships/hyperlink" Target="https://youtu.be/etVsoXCc2sg" TargetMode="External"/><Relationship Id="rId841" Type="http://schemas.openxmlformats.org/officeDocument/2006/relationships/hyperlink" Target="https://youtu.be/sWzeV2GEsIg" TargetMode="External"/><Relationship Id="rId26" Type="http://schemas.openxmlformats.org/officeDocument/2006/relationships/hyperlink" Target="https://youtu.be/vK9YB-WicmM" TargetMode="External"/><Relationship Id="rId231" Type="http://schemas.openxmlformats.org/officeDocument/2006/relationships/hyperlink" Target="https://youtu.be/AG1LknivqFA" TargetMode="External"/><Relationship Id="rId273" Type="http://schemas.openxmlformats.org/officeDocument/2006/relationships/hyperlink" Target="https://www.youtube.com/watch?v=kKK9rYZVXCk" TargetMode="External"/><Relationship Id="rId329" Type="http://schemas.openxmlformats.org/officeDocument/2006/relationships/hyperlink" Target="https://youtu.be/AHjQLFmXPJc" TargetMode="External"/><Relationship Id="rId480" Type="http://schemas.openxmlformats.org/officeDocument/2006/relationships/hyperlink" Target="https://youtu.be/g4A_Gixycb0" TargetMode="External"/><Relationship Id="rId536" Type="http://schemas.openxmlformats.org/officeDocument/2006/relationships/hyperlink" Target="https://youtu.be/ggxkofCD9LY" TargetMode="External"/><Relationship Id="rId701" Type="http://schemas.openxmlformats.org/officeDocument/2006/relationships/hyperlink" Target="https://youtu.be/K-WysDxarS0" TargetMode="External"/><Relationship Id="rId68" Type="http://schemas.openxmlformats.org/officeDocument/2006/relationships/hyperlink" Target="https://youtu.be/LyJDqKXwHK4" TargetMode="External"/><Relationship Id="rId133" Type="http://schemas.openxmlformats.org/officeDocument/2006/relationships/hyperlink" Target="https://youtu.be/xT-CW_CkXek" TargetMode="External"/><Relationship Id="rId175" Type="http://schemas.openxmlformats.org/officeDocument/2006/relationships/hyperlink" Target="https://youtu.be/GFWAyoDwDt8" TargetMode="External"/><Relationship Id="rId340" Type="http://schemas.openxmlformats.org/officeDocument/2006/relationships/hyperlink" Target="https://youtu.be/-Jcu2dqOFh4" TargetMode="External"/><Relationship Id="rId578" Type="http://schemas.openxmlformats.org/officeDocument/2006/relationships/hyperlink" Target="https://youtu.be/azOf1XhJOQU" TargetMode="External"/><Relationship Id="rId743" Type="http://schemas.openxmlformats.org/officeDocument/2006/relationships/hyperlink" Target="https://youtu.be/jLF9qN4ccQk" TargetMode="External"/><Relationship Id="rId785" Type="http://schemas.openxmlformats.org/officeDocument/2006/relationships/hyperlink" Target="https://youtu.be/zEMrZm_ngJc" TargetMode="External"/><Relationship Id="rId200" Type="http://schemas.openxmlformats.org/officeDocument/2006/relationships/hyperlink" Target="https://youtu.be/PmcuEtCyScA" TargetMode="External"/><Relationship Id="rId382" Type="http://schemas.openxmlformats.org/officeDocument/2006/relationships/hyperlink" Target="https://youtu.be/fmO6rEPf7Q4" TargetMode="External"/><Relationship Id="rId438" Type="http://schemas.openxmlformats.org/officeDocument/2006/relationships/hyperlink" Target="https://youtu.be/jQH6o6PyynI" TargetMode="External"/><Relationship Id="rId603" Type="http://schemas.openxmlformats.org/officeDocument/2006/relationships/hyperlink" Target="https://youtu.be/GwMEAxX5dfQ" TargetMode="External"/><Relationship Id="rId645" Type="http://schemas.openxmlformats.org/officeDocument/2006/relationships/hyperlink" Target="https://youtu.be/CavGI3hojDs" TargetMode="External"/><Relationship Id="rId687" Type="http://schemas.openxmlformats.org/officeDocument/2006/relationships/hyperlink" Target="https://youtu.be/gdwbn0AL6gA" TargetMode="External"/><Relationship Id="rId810" Type="http://schemas.openxmlformats.org/officeDocument/2006/relationships/hyperlink" Target="https://youtu.be/O7JAaYtkMzg" TargetMode="External"/><Relationship Id="rId242" Type="http://schemas.openxmlformats.org/officeDocument/2006/relationships/hyperlink" Target="https://youtu.be/hzGNDi2C4Kg" TargetMode="External"/><Relationship Id="rId284" Type="http://schemas.openxmlformats.org/officeDocument/2006/relationships/hyperlink" Target="https://youtu.be/_d5RYkX41PY" TargetMode="External"/><Relationship Id="rId491" Type="http://schemas.openxmlformats.org/officeDocument/2006/relationships/hyperlink" Target="https://youtu.be/WGcpAHhIZro" TargetMode="External"/><Relationship Id="rId505" Type="http://schemas.openxmlformats.org/officeDocument/2006/relationships/hyperlink" Target="https://youtu.be/cMKzujr8ahY" TargetMode="External"/><Relationship Id="rId712" Type="http://schemas.openxmlformats.org/officeDocument/2006/relationships/hyperlink" Target="https://youtu.be/WK5J_NDftrk" TargetMode="External"/><Relationship Id="rId37" Type="http://schemas.openxmlformats.org/officeDocument/2006/relationships/hyperlink" Target="https://youtu.be/unchXeSMgHc" TargetMode="External"/><Relationship Id="rId79" Type="http://schemas.openxmlformats.org/officeDocument/2006/relationships/hyperlink" Target="https://youtu.be/jt8QmHb4sxI" TargetMode="External"/><Relationship Id="rId102" Type="http://schemas.openxmlformats.org/officeDocument/2006/relationships/hyperlink" Target="https://youtu.be/Fbpwjz96iSQ" TargetMode="External"/><Relationship Id="rId144" Type="http://schemas.openxmlformats.org/officeDocument/2006/relationships/hyperlink" Target="https://youtu.be/HZtRad4r45s" TargetMode="External"/><Relationship Id="rId547" Type="http://schemas.openxmlformats.org/officeDocument/2006/relationships/hyperlink" Target="https://youtu.be/td7Tjrx1Tb4" TargetMode="External"/><Relationship Id="rId589" Type="http://schemas.openxmlformats.org/officeDocument/2006/relationships/hyperlink" Target="https://youtu.be/rOdphGGDbgI" TargetMode="External"/><Relationship Id="rId754" Type="http://schemas.openxmlformats.org/officeDocument/2006/relationships/hyperlink" Target="https://youtu.be/vjRX5XPgwqY" TargetMode="External"/><Relationship Id="rId796" Type="http://schemas.openxmlformats.org/officeDocument/2006/relationships/hyperlink" Target="https://youtu.be/l4uk8IHi-bs" TargetMode="External"/><Relationship Id="rId90" Type="http://schemas.openxmlformats.org/officeDocument/2006/relationships/hyperlink" Target="https://youtu.be/0scuiEF5dtE" TargetMode="External"/><Relationship Id="rId186" Type="http://schemas.openxmlformats.org/officeDocument/2006/relationships/hyperlink" Target="https://youtu.be/kp_siNUY3oY" TargetMode="External"/><Relationship Id="rId351" Type="http://schemas.openxmlformats.org/officeDocument/2006/relationships/hyperlink" Target="https://youtu.be/2NlCScFeNuE" TargetMode="External"/><Relationship Id="rId393" Type="http://schemas.openxmlformats.org/officeDocument/2006/relationships/hyperlink" Target="https://youtu.be/EaJYYOvBZIM" TargetMode="External"/><Relationship Id="rId407" Type="http://schemas.openxmlformats.org/officeDocument/2006/relationships/hyperlink" Target="https://youtu.be/WNWkud-yHTk" TargetMode="External"/><Relationship Id="rId449" Type="http://schemas.openxmlformats.org/officeDocument/2006/relationships/hyperlink" Target="https://youtu.be/dROV-QrLC_w" TargetMode="External"/><Relationship Id="rId614" Type="http://schemas.openxmlformats.org/officeDocument/2006/relationships/hyperlink" Target="https://youtu.be/Z_vppEFp6ng" TargetMode="External"/><Relationship Id="rId656" Type="http://schemas.openxmlformats.org/officeDocument/2006/relationships/hyperlink" Target="https://youtu.be/Rgf9-jjrhDU" TargetMode="External"/><Relationship Id="rId821" Type="http://schemas.openxmlformats.org/officeDocument/2006/relationships/hyperlink" Target="https://youtu.be/6PXeTCGL71s" TargetMode="External"/><Relationship Id="rId211" Type="http://schemas.openxmlformats.org/officeDocument/2006/relationships/hyperlink" Target="https://youtu.be/EsCshoZWZ8s" TargetMode="External"/><Relationship Id="rId253" Type="http://schemas.openxmlformats.org/officeDocument/2006/relationships/hyperlink" Target="https://youtu.be/LKuthwVnm_Q" TargetMode="External"/><Relationship Id="rId295" Type="http://schemas.openxmlformats.org/officeDocument/2006/relationships/hyperlink" Target="https://youtu.be/uYH1yI-9kQ8" TargetMode="External"/><Relationship Id="rId309" Type="http://schemas.openxmlformats.org/officeDocument/2006/relationships/hyperlink" Target="https://youtu.be/za4pTvjjsRE" TargetMode="External"/><Relationship Id="rId460" Type="http://schemas.openxmlformats.org/officeDocument/2006/relationships/hyperlink" Target="https://youtu.be/LRm8TS77TxE" TargetMode="External"/><Relationship Id="rId516" Type="http://schemas.openxmlformats.org/officeDocument/2006/relationships/hyperlink" Target="https://youtu.be/rVLNdmUlfH0" TargetMode="External"/><Relationship Id="rId698" Type="http://schemas.openxmlformats.org/officeDocument/2006/relationships/hyperlink" Target="https://youtu.be/U3O2sOYnxzY" TargetMode="External"/><Relationship Id="rId48" Type="http://schemas.openxmlformats.org/officeDocument/2006/relationships/hyperlink" Target="https://youtu.be/yzpiMJW3CzM" TargetMode="External"/><Relationship Id="rId113" Type="http://schemas.openxmlformats.org/officeDocument/2006/relationships/hyperlink" Target="https://youtu.be/Z-HoXmj3AZQ" TargetMode="External"/><Relationship Id="rId320" Type="http://schemas.openxmlformats.org/officeDocument/2006/relationships/hyperlink" Target="https://youtu.be/xfvYYbW9GEo" TargetMode="External"/><Relationship Id="rId558" Type="http://schemas.openxmlformats.org/officeDocument/2006/relationships/hyperlink" Target="https://youtu.be/yGr1x2hkRNM" TargetMode="External"/><Relationship Id="rId723" Type="http://schemas.openxmlformats.org/officeDocument/2006/relationships/hyperlink" Target="https://youtu.be/KfOFeHwJEAU" TargetMode="External"/><Relationship Id="rId765" Type="http://schemas.openxmlformats.org/officeDocument/2006/relationships/hyperlink" Target="https://youtu.be/62MjDU_r1Pg" TargetMode="External"/><Relationship Id="rId155" Type="http://schemas.openxmlformats.org/officeDocument/2006/relationships/hyperlink" Target="https://youtu.be/c1CCV1EYOX8" TargetMode="External"/><Relationship Id="rId197" Type="http://schemas.openxmlformats.org/officeDocument/2006/relationships/hyperlink" Target="https://youtu.be/d-0SsFOMsRo" TargetMode="External"/><Relationship Id="rId362" Type="http://schemas.openxmlformats.org/officeDocument/2006/relationships/hyperlink" Target="https://youtu.be/VbF8zpcD3Vg" TargetMode="External"/><Relationship Id="rId418" Type="http://schemas.openxmlformats.org/officeDocument/2006/relationships/hyperlink" Target="https://youtu.be/eehJ9HLB5PM" TargetMode="External"/><Relationship Id="rId625" Type="http://schemas.openxmlformats.org/officeDocument/2006/relationships/hyperlink" Target="https://youtu.be/T8A4fRlt0ig" TargetMode="External"/><Relationship Id="rId832" Type="http://schemas.openxmlformats.org/officeDocument/2006/relationships/hyperlink" Target="https://youtu.be/xYkR9pBCoGo" TargetMode="External"/><Relationship Id="rId222" Type="http://schemas.openxmlformats.org/officeDocument/2006/relationships/hyperlink" Target="https://youtu.be/ayBVNwqY4nc" TargetMode="External"/><Relationship Id="rId264" Type="http://schemas.openxmlformats.org/officeDocument/2006/relationships/hyperlink" Target="https://youtu.be/KsQFk4ov79M" TargetMode="External"/><Relationship Id="rId471" Type="http://schemas.openxmlformats.org/officeDocument/2006/relationships/hyperlink" Target="https://youtu.be/U-f95M-JCrU" TargetMode="External"/><Relationship Id="rId667" Type="http://schemas.openxmlformats.org/officeDocument/2006/relationships/hyperlink" Target="https://youtu.be/-f27KPLQeHs" TargetMode="External"/><Relationship Id="rId17" Type="http://schemas.openxmlformats.org/officeDocument/2006/relationships/hyperlink" Target="https://youtu.be/6ynVUQF3YlU" TargetMode="External"/><Relationship Id="rId59" Type="http://schemas.openxmlformats.org/officeDocument/2006/relationships/hyperlink" Target="https://youtu.be/CDoENi_jWAY" TargetMode="External"/><Relationship Id="rId124" Type="http://schemas.openxmlformats.org/officeDocument/2006/relationships/hyperlink" Target="https://youtu.be/Q1Y3IlC95qg" TargetMode="External"/><Relationship Id="rId527" Type="http://schemas.openxmlformats.org/officeDocument/2006/relationships/hyperlink" Target="https://youtu.be/L4boqXeykhI" TargetMode="External"/><Relationship Id="rId569" Type="http://schemas.openxmlformats.org/officeDocument/2006/relationships/hyperlink" Target="https://youtu.be/ZEqOJej6w9w" TargetMode="External"/><Relationship Id="rId734" Type="http://schemas.openxmlformats.org/officeDocument/2006/relationships/hyperlink" Target="https://youtu.be/4LXnE2LpwDk" TargetMode="External"/><Relationship Id="rId776" Type="http://schemas.openxmlformats.org/officeDocument/2006/relationships/hyperlink" Target="https://youtu.be/typONNp2SvU" TargetMode="External"/><Relationship Id="rId70" Type="http://schemas.openxmlformats.org/officeDocument/2006/relationships/hyperlink" Target="https://youtu.be/T-5HSfZGKO0" TargetMode="External"/><Relationship Id="rId166" Type="http://schemas.openxmlformats.org/officeDocument/2006/relationships/hyperlink" Target="https://youtu.be/WdKNgi1pkaQ" TargetMode="External"/><Relationship Id="rId331" Type="http://schemas.openxmlformats.org/officeDocument/2006/relationships/hyperlink" Target="https://youtu.be/UgnDsZFU8Ys" TargetMode="External"/><Relationship Id="rId373" Type="http://schemas.openxmlformats.org/officeDocument/2006/relationships/hyperlink" Target="https://youtu.be/src_NaNoYkg" TargetMode="External"/><Relationship Id="rId429" Type="http://schemas.openxmlformats.org/officeDocument/2006/relationships/hyperlink" Target="https://www.youtube.com/watch?v=1CdLhVO5haE&amp;t=5s" TargetMode="External"/><Relationship Id="rId580" Type="http://schemas.openxmlformats.org/officeDocument/2006/relationships/hyperlink" Target="https://youtu.be/5n9mCVGeYeE" TargetMode="External"/><Relationship Id="rId636" Type="http://schemas.openxmlformats.org/officeDocument/2006/relationships/hyperlink" Target="https://youtu.be/7XHE5PMZ3EY" TargetMode="External"/><Relationship Id="rId801" Type="http://schemas.openxmlformats.org/officeDocument/2006/relationships/hyperlink" Target="https://youtu.be/WWdaERcwq_o" TargetMode="External"/><Relationship Id="rId1" Type="http://schemas.openxmlformats.org/officeDocument/2006/relationships/hyperlink" Target="https://youtu.be/rUhLsca4UGY" TargetMode="External"/><Relationship Id="rId233" Type="http://schemas.openxmlformats.org/officeDocument/2006/relationships/hyperlink" Target="https://youtu.be/3tREhtDTNos" TargetMode="External"/><Relationship Id="rId440" Type="http://schemas.openxmlformats.org/officeDocument/2006/relationships/hyperlink" Target="https://youtu.be/TNU6IHfw9Os" TargetMode="External"/><Relationship Id="rId678" Type="http://schemas.openxmlformats.org/officeDocument/2006/relationships/hyperlink" Target="https://youtu.be/FIiYxToV7eQ" TargetMode="External"/><Relationship Id="rId843" Type="http://schemas.openxmlformats.org/officeDocument/2006/relationships/hyperlink" Target="https://youtu.be/5aB7X3YysAg" TargetMode="External"/><Relationship Id="rId28" Type="http://schemas.openxmlformats.org/officeDocument/2006/relationships/hyperlink" Target="https://youtu.be/0Qe1l7npgjA" TargetMode="External"/><Relationship Id="rId275" Type="http://schemas.openxmlformats.org/officeDocument/2006/relationships/hyperlink" Target="https://youtu.be/IoLw_XP7aow" TargetMode="External"/><Relationship Id="rId300" Type="http://schemas.openxmlformats.org/officeDocument/2006/relationships/hyperlink" Target="https://youtu.be/jEX7a7oMnVI" TargetMode="External"/><Relationship Id="rId482" Type="http://schemas.openxmlformats.org/officeDocument/2006/relationships/hyperlink" Target="https://youtu.be/KkSg8InUDsU" TargetMode="External"/><Relationship Id="rId538" Type="http://schemas.openxmlformats.org/officeDocument/2006/relationships/hyperlink" Target="https://youtu.be/3F5785oU4YA" TargetMode="External"/><Relationship Id="rId703" Type="http://schemas.openxmlformats.org/officeDocument/2006/relationships/hyperlink" Target="https://youtu.be/RoHJL9FrTsg" TargetMode="External"/><Relationship Id="rId745" Type="http://schemas.openxmlformats.org/officeDocument/2006/relationships/hyperlink" Target="https://youtu.be/TcWtyPiK-l4" TargetMode="External"/><Relationship Id="rId81" Type="http://schemas.openxmlformats.org/officeDocument/2006/relationships/hyperlink" Target="https://youtu.be/A1VO9af4rxA" TargetMode="External"/><Relationship Id="rId135" Type="http://schemas.openxmlformats.org/officeDocument/2006/relationships/hyperlink" Target="https://youtu.be/h4Pl5-tFlc4" TargetMode="External"/><Relationship Id="rId177" Type="http://schemas.openxmlformats.org/officeDocument/2006/relationships/hyperlink" Target="https://youtu.be/SDs8314e1sM" TargetMode="External"/><Relationship Id="rId342" Type="http://schemas.openxmlformats.org/officeDocument/2006/relationships/hyperlink" Target="https://youtu.be/dvLr3tXZqfw" TargetMode="External"/><Relationship Id="rId384" Type="http://schemas.openxmlformats.org/officeDocument/2006/relationships/hyperlink" Target="https://youtu.be/LsZjBxpfo0U" TargetMode="External"/><Relationship Id="rId591" Type="http://schemas.openxmlformats.org/officeDocument/2006/relationships/hyperlink" Target="https://youtu.be/Evh1fxjI02o" TargetMode="External"/><Relationship Id="rId605" Type="http://schemas.openxmlformats.org/officeDocument/2006/relationships/hyperlink" Target="https://youtu.be/OVK3r4haJcQ" TargetMode="External"/><Relationship Id="rId787" Type="http://schemas.openxmlformats.org/officeDocument/2006/relationships/hyperlink" Target="https://youtu.be/kgXise5Nx6Y" TargetMode="External"/><Relationship Id="rId812" Type="http://schemas.openxmlformats.org/officeDocument/2006/relationships/hyperlink" Target="https://youtu.be/iwJWQMGhrK0" TargetMode="External"/><Relationship Id="rId202" Type="http://schemas.openxmlformats.org/officeDocument/2006/relationships/hyperlink" Target="https://youtu.be/KY6g97pcGMI" TargetMode="External"/><Relationship Id="rId244" Type="http://schemas.openxmlformats.org/officeDocument/2006/relationships/hyperlink" Target="https://youtu.be/6agxWNjg5lM" TargetMode="External"/><Relationship Id="rId647" Type="http://schemas.openxmlformats.org/officeDocument/2006/relationships/hyperlink" Target="https://youtu.be/SSTaJdLNTRY" TargetMode="External"/><Relationship Id="rId689" Type="http://schemas.openxmlformats.org/officeDocument/2006/relationships/hyperlink" Target="https://youtu.be/2zkbOYUTTZw" TargetMode="External"/><Relationship Id="rId39" Type="http://schemas.openxmlformats.org/officeDocument/2006/relationships/hyperlink" Target="https://youtu.be/6mrtD-Yh0j4" TargetMode="External"/><Relationship Id="rId286" Type="http://schemas.openxmlformats.org/officeDocument/2006/relationships/hyperlink" Target="https://youtu.be/_p46SBZc4f8" TargetMode="External"/><Relationship Id="rId451" Type="http://schemas.openxmlformats.org/officeDocument/2006/relationships/hyperlink" Target="https://youtu.be/MejVLhVfWr8" TargetMode="External"/><Relationship Id="rId493" Type="http://schemas.openxmlformats.org/officeDocument/2006/relationships/hyperlink" Target="https://youtu.be/N1F6Q-eSAUg" TargetMode="External"/><Relationship Id="rId507" Type="http://schemas.openxmlformats.org/officeDocument/2006/relationships/hyperlink" Target="https://youtu.be/rT6R3mefK-o" TargetMode="External"/><Relationship Id="rId549" Type="http://schemas.openxmlformats.org/officeDocument/2006/relationships/hyperlink" Target="https://youtu.be/jSWerULTKh0" TargetMode="External"/><Relationship Id="rId714" Type="http://schemas.openxmlformats.org/officeDocument/2006/relationships/hyperlink" Target="https://youtu.be/utiiSOTI-FY" TargetMode="External"/><Relationship Id="rId756" Type="http://schemas.openxmlformats.org/officeDocument/2006/relationships/hyperlink" Target="https://youtu.be/InLpDrjgsnw" TargetMode="External"/><Relationship Id="rId50" Type="http://schemas.openxmlformats.org/officeDocument/2006/relationships/hyperlink" Target="https://youtu.be/1rq2pdPpdmI" TargetMode="External"/><Relationship Id="rId104" Type="http://schemas.openxmlformats.org/officeDocument/2006/relationships/hyperlink" Target="https://youtu.be/7E1UWUz4PFA" TargetMode="External"/><Relationship Id="rId146" Type="http://schemas.openxmlformats.org/officeDocument/2006/relationships/hyperlink" Target="https://youtu.be/BJTjX1C6yfU" TargetMode="External"/><Relationship Id="rId188" Type="http://schemas.openxmlformats.org/officeDocument/2006/relationships/hyperlink" Target="https://youtu.be/HdOyNOKxeQY" TargetMode="External"/><Relationship Id="rId311" Type="http://schemas.openxmlformats.org/officeDocument/2006/relationships/hyperlink" Target="https://youtu.be/oLSGM4pp_e0" TargetMode="External"/><Relationship Id="rId353" Type="http://schemas.openxmlformats.org/officeDocument/2006/relationships/hyperlink" Target="https://youtu.be/sK1zLsDcZVM" TargetMode="External"/><Relationship Id="rId395" Type="http://schemas.openxmlformats.org/officeDocument/2006/relationships/hyperlink" Target="https://youtu.be/norNg5TxogI" TargetMode="External"/><Relationship Id="rId409" Type="http://schemas.openxmlformats.org/officeDocument/2006/relationships/hyperlink" Target="https://youtu.be/L0XhNOlsOkM" TargetMode="External"/><Relationship Id="rId560" Type="http://schemas.openxmlformats.org/officeDocument/2006/relationships/hyperlink" Target="https://youtu.be/ewJyX6P2kaA" TargetMode="External"/><Relationship Id="rId798" Type="http://schemas.openxmlformats.org/officeDocument/2006/relationships/hyperlink" Target="https://youtu.be/Ks3lCaih3h8" TargetMode="External"/><Relationship Id="rId92" Type="http://schemas.openxmlformats.org/officeDocument/2006/relationships/hyperlink" Target="https://youtu.be/YjPyFHUMxRc" TargetMode="External"/><Relationship Id="rId213" Type="http://schemas.openxmlformats.org/officeDocument/2006/relationships/hyperlink" Target="https://youtu.be/Tx0bsvD5yJg" TargetMode="External"/><Relationship Id="rId420" Type="http://schemas.openxmlformats.org/officeDocument/2006/relationships/hyperlink" Target="https://youtu.be/5ZitX9cUrs8" TargetMode="External"/><Relationship Id="rId616" Type="http://schemas.openxmlformats.org/officeDocument/2006/relationships/hyperlink" Target="https://youtu.be/2v_Wf9p3k2Q" TargetMode="External"/><Relationship Id="rId658" Type="http://schemas.openxmlformats.org/officeDocument/2006/relationships/hyperlink" Target="https://youtu.be/yteOg2jkoV0" TargetMode="External"/><Relationship Id="rId823" Type="http://schemas.openxmlformats.org/officeDocument/2006/relationships/hyperlink" Target="https://youtu.be/2OlySHesaw0" TargetMode="External"/><Relationship Id="rId255" Type="http://schemas.openxmlformats.org/officeDocument/2006/relationships/hyperlink" Target="https://youtu.be/iDI8nf0auTg" TargetMode="External"/><Relationship Id="rId297" Type="http://schemas.openxmlformats.org/officeDocument/2006/relationships/hyperlink" Target="https://youtu.be/ic0KS0wgB4s" TargetMode="External"/><Relationship Id="rId462" Type="http://schemas.openxmlformats.org/officeDocument/2006/relationships/hyperlink" Target="https://youtu.be/NsJoT4iwYSY" TargetMode="External"/><Relationship Id="rId518" Type="http://schemas.openxmlformats.org/officeDocument/2006/relationships/hyperlink" Target="https://youtu.be/CJj0A_hlyRY" TargetMode="External"/><Relationship Id="rId725" Type="http://schemas.openxmlformats.org/officeDocument/2006/relationships/hyperlink" Target="https://youtu.be/CCslwu5BVik" TargetMode="External"/><Relationship Id="rId115" Type="http://schemas.openxmlformats.org/officeDocument/2006/relationships/hyperlink" Target="https://youtu.be/r3dCmYxuXLk" TargetMode="External"/><Relationship Id="rId157" Type="http://schemas.openxmlformats.org/officeDocument/2006/relationships/hyperlink" Target="https://youtu.be/QOQtl8slDBU" TargetMode="External"/><Relationship Id="rId322" Type="http://schemas.openxmlformats.org/officeDocument/2006/relationships/hyperlink" Target="https://youtu.be/pZcxF2a2-qs" TargetMode="External"/><Relationship Id="rId364" Type="http://schemas.openxmlformats.org/officeDocument/2006/relationships/hyperlink" Target="https://youtu.be/ZVsjvCdVA6g" TargetMode="External"/><Relationship Id="rId767" Type="http://schemas.openxmlformats.org/officeDocument/2006/relationships/hyperlink" Target="https://youtu.be/7uJqUAtXzvw" TargetMode="External"/><Relationship Id="rId61" Type="http://schemas.openxmlformats.org/officeDocument/2006/relationships/hyperlink" Target="https://youtu.be/uhrlhquQQjM" TargetMode="External"/><Relationship Id="rId199" Type="http://schemas.openxmlformats.org/officeDocument/2006/relationships/hyperlink" Target="https://youtu.be/PI7L0JSHfKU" TargetMode="External"/><Relationship Id="rId571" Type="http://schemas.openxmlformats.org/officeDocument/2006/relationships/hyperlink" Target="https://youtu.be/nNmG3YSqqEI" TargetMode="External"/><Relationship Id="rId627" Type="http://schemas.openxmlformats.org/officeDocument/2006/relationships/hyperlink" Target="https://youtu.be/CzWXqPh5NRQ" TargetMode="External"/><Relationship Id="rId669" Type="http://schemas.openxmlformats.org/officeDocument/2006/relationships/hyperlink" Target="https://youtu.be/GAl_hzwgkPQ" TargetMode="External"/><Relationship Id="rId834" Type="http://schemas.openxmlformats.org/officeDocument/2006/relationships/hyperlink" Target="https://youtu.be/4iFrny7xRCg" TargetMode="External"/><Relationship Id="rId19" Type="http://schemas.openxmlformats.org/officeDocument/2006/relationships/hyperlink" Target="https://youtu.be/OMdygCJ_4Dc" TargetMode="External"/><Relationship Id="rId224" Type="http://schemas.openxmlformats.org/officeDocument/2006/relationships/hyperlink" Target="https://youtu.be/Dz2B1A0sBJg" TargetMode="External"/><Relationship Id="rId266" Type="http://schemas.openxmlformats.org/officeDocument/2006/relationships/hyperlink" Target="https://youtu.be/8V34Kw7_qRc" TargetMode="External"/><Relationship Id="rId431" Type="http://schemas.openxmlformats.org/officeDocument/2006/relationships/hyperlink" Target="https://www.youtube.com/watch?v=HAxmFf9wLf4&amp;t=18s" TargetMode="External"/><Relationship Id="rId473" Type="http://schemas.openxmlformats.org/officeDocument/2006/relationships/hyperlink" Target="https://youtu.be/nvXTD9JwL10" TargetMode="External"/><Relationship Id="rId529" Type="http://schemas.openxmlformats.org/officeDocument/2006/relationships/hyperlink" Target="https://youtu.be/aXBLvoikpc4" TargetMode="External"/><Relationship Id="rId680" Type="http://schemas.openxmlformats.org/officeDocument/2006/relationships/hyperlink" Target="https://youtu.be/gJh77hXYTXs" TargetMode="External"/><Relationship Id="rId736" Type="http://schemas.openxmlformats.org/officeDocument/2006/relationships/hyperlink" Target="https://youtu.be/u8INTWO28qs" TargetMode="External"/><Relationship Id="rId30" Type="http://schemas.openxmlformats.org/officeDocument/2006/relationships/hyperlink" Target="https://youtu.be/pRreOHVk8ng" TargetMode="External"/><Relationship Id="rId126" Type="http://schemas.openxmlformats.org/officeDocument/2006/relationships/hyperlink" Target="https://youtu.be/B0CoHxIsd58" TargetMode="External"/><Relationship Id="rId168" Type="http://schemas.openxmlformats.org/officeDocument/2006/relationships/hyperlink" Target="https://youtu.be/KMlBSNJ6UiA" TargetMode="External"/><Relationship Id="rId333" Type="http://schemas.openxmlformats.org/officeDocument/2006/relationships/hyperlink" Target="https://youtu.be/iS1MKHfSwpc" TargetMode="External"/><Relationship Id="rId540" Type="http://schemas.openxmlformats.org/officeDocument/2006/relationships/hyperlink" Target="https://youtu.be/Leqf_a5S2Js" TargetMode="External"/><Relationship Id="rId778" Type="http://schemas.openxmlformats.org/officeDocument/2006/relationships/hyperlink" Target="https://youtu.be/SAnr7Sgeg2g" TargetMode="External"/><Relationship Id="rId72" Type="http://schemas.openxmlformats.org/officeDocument/2006/relationships/hyperlink" Target="https://youtu.be/TjUW0QCRbqc" TargetMode="External"/><Relationship Id="rId375" Type="http://schemas.openxmlformats.org/officeDocument/2006/relationships/hyperlink" Target="https://youtu.be/f_UmglLrZSM" TargetMode="External"/><Relationship Id="rId582" Type="http://schemas.openxmlformats.org/officeDocument/2006/relationships/hyperlink" Target="https://youtu.be/ouZamTwq_C8" TargetMode="External"/><Relationship Id="rId638" Type="http://schemas.openxmlformats.org/officeDocument/2006/relationships/hyperlink" Target="https://youtu.be/rim98LsyTbg" TargetMode="External"/><Relationship Id="rId803" Type="http://schemas.openxmlformats.org/officeDocument/2006/relationships/hyperlink" Target="https://youtu.be/3e27QHwKodg" TargetMode="External"/><Relationship Id="rId845" Type="http://schemas.openxmlformats.org/officeDocument/2006/relationships/hyperlink" Target="https://youtu.be/ZhwZWmysQbk" TargetMode="External"/><Relationship Id="rId3" Type="http://schemas.openxmlformats.org/officeDocument/2006/relationships/hyperlink" Target="https://youtu.be/56K0T80zjOQ" TargetMode="External"/><Relationship Id="rId235" Type="http://schemas.openxmlformats.org/officeDocument/2006/relationships/hyperlink" Target="https://youtu.be/8m8J8-nBlgo" TargetMode="External"/><Relationship Id="rId277" Type="http://schemas.openxmlformats.org/officeDocument/2006/relationships/hyperlink" Target="https://youtu.be/Qq1mkgRlRBc" TargetMode="External"/><Relationship Id="rId400" Type="http://schemas.openxmlformats.org/officeDocument/2006/relationships/hyperlink" Target="https://youtu.be/QNiUnMOvr4o" TargetMode="External"/><Relationship Id="rId442" Type="http://schemas.openxmlformats.org/officeDocument/2006/relationships/hyperlink" Target="https://youtu.be/ptreLvwOXyw" TargetMode="External"/><Relationship Id="rId484" Type="http://schemas.openxmlformats.org/officeDocument/2006/relationships/hyperlink" Target="https://youtu.be/gKOZPiR4H2s" TargetMode="External"/><Relationship Id="rId705" Type="http://schemas.openxmlformats.org/officeDocument/2006/relationships/hyperlink" Target="https://youtu.be/oLP4ODeDQfQ" TargetMode="External"/><Relationship Id="rId137" Type="http://schemas.openxmlformats.org/officeDocument/2006/relationships/hyperlink" Target="https://youtu.be/TWO8I9sIND0" TargetMode="External"/><Relationship Id="rId302" Type="http://schemas.openxmlformats.org/officeDocument/2006/relationships/hyperlink" Target="https://youtu.be/td43TqnUDts" TargetMode="External"/><Relationship Id="rId344" Type="http://schemas.openxmlformats.org/officeDocument/2006/relationships/hyperlink" Target="https://youtu.be/d3F4frlCUjM" TargetMode="External"/><Relationship Id="rId691" Type="http://schemas.openxmlformats.org/officeDocument/2006/relationships/hyperlink" Target="https://youtu.be/ztng7QRF0oQ" TargetMode="External"/><Relationship Id="rId747" Type="http://schemas.openxmlformats.org/officeDocument/2006/relationships/hyperlink" Target="https://youtu.be/obS_fRuerss" TargetMode="External"/><Relationship Id="rId789" Type="http://schemas.openxmlformats.org/officeDocument/2006/relationships/hyperlink" Target="https://youtu.be/4YFyhw8kDk0" TargetMode="External"/><Relationship Id="rId41" Type="http://schemas.openxmlformats.org/officeDocument/2006/relationships/hyperlink" Target="https://youtu.be/CMSDvfuuLSE" TargetMode="External"/><Relationship Id="rId83" Type="http://schemas.openxmlformats.org/officeDocument/2006/relationships/hyperlink" Target="https://youtu.be/7NLioFN6vzM" TargetMode="External"/><Relationship Id="rId179" Type="http://schemas.openxmlformats.org/officeDocument/2006/relationships/hyperlink" Target="https://youtu.be/pWn1mJPojLY" TargetMode="External"/><Relationship Id="rId386" Type="http://schemas.openxmlformats.org/officeDocument/2006/relationships/hyperlink" Target="https://youtu.be/mEnOrGjlmDs" TargetMode="External"/><Relationship Id="rId551" Type="http://schemas.openxmlformats.org/officeDocument/2006/relationships/hyperlink" Target="https://youtu.be/e3CcelhQyxA" TargetMode="External"/><Relationship Id="rId593" Type="http://schemas.openxmlformats.org/officeDocument/2006/relationships/hyperlink" Target="https://youtu.be/z8NE1NJzYWU" TargetMode="External"/><Relationship Id="rId607" Type="http://schemas.openxmlformats.org/officeDocument/2006/relationships/hyperlink" Target="https://youtu.be/n8S-Yja9wWo" TargetMode="External"/><Relationship Id="rId649" Type="http://schemas.openxmlformats.org/officeDocument/2006/relationships/hyperlink" Target="https://youtu.be/CM-U0bX-0kQ" TargetMode="External"/><Relationship Id="rId814" Type="http://schemas.openxmlformats.org/officeDocument/2006/relationships/hyperlink" Target="https://youtu.be/JhqagvwgHy0" TargetMode="External"/><Relationship Id="rId190" Type="http://schemas.openxmlformats.org/officeDocument/2006/relationships/hyperlink" Target="https://youtu.be/iI0vJ_0b-nE" TargetMode="External"/><Relationship Id="rId204" Type="http://schemas.openxmlformats.org/officeDocument/2006/relationships/hyperlink" Target="https://youtu.be/EI6vKaoKdjo" TargetMode="External"/><Relationship Id="rId246" Type="http://schemas.openxmlformats.org/officeDocument/2006/relationships/hyperlink" Target="https://youtu.be/E3Cehv97zrE" TargetMode="External"/><Relationship Id="rId288" Type="http://schemas.openxmlformats.org/officeDocument/2006/relationships/hyperlink" Target="https://youtu.be/1yK_UXQWrk0" TargetMode="External"/><Relationship Id="rId411" Type="http://schemas.openxmlformats.org/officeDocument/2006/relationships/hyperlink" Target="https://youtu.be/N7AMgXzmkbU" TargetMode="External"/><Relationship Id="rId453" Type="http://schemas.openxmlformats.org/officeDocument/2006/relationships/hyperlink" Target="https://youtu.be/y_ccxqpTc3w" TargetMode="External"/><Relationship Id="rId509" Type="http://schemas.openxmlformats.org/officeDocument/2006/relationships/hyperlink" Target="https://youtu.be/IEw-qDre__U" TargetMode="External"/><Relationship Id="rId660" Type="http://schemas.openxmlformats.org/officeDocument/2006/relationships/hyperlink" Target="https://youtu.be/7gJktl2k97s" TargetMode="External"/><Relationship Id="rId106" Type="http://schemas.openxmlformats.org/officeDocument/2006/relationships/hyperlink" Target="https://youtu.be/CsCz9-i58s8" TargetMode="External"/><Relationship Id="rId313" Type="http://schemas.openxmlformats.org/officeDocument/2006/relationships/hyperlink" Target="https://youtu.be/1OLBTHDqWIE" TargetMode="External"/><Relationship Id="rId495" Type="http://schemas.openxmlformats.org/officeDocument/2006/relationships/hyperlink" Target="https://youtu.be/JmNCy7uQ-CA" TargetMode="External"/><Relationship Id="rId716" Type="http://schemas.openxmlformats.org/officeDocument/2006/relationships/hyperlink" Target="https://youtu.be/csY3Hk9X4Qc" TargetMode="External"/><Relationship Id="rId758" Type="http://schemas.openxmlformats.org/officeDocument/2006/relationships/hyperlink" Target="https://youtu.be/3cCnuN5KEGQ" TargetMode="External"/><Relationship Id="rId10" Type="http://schemas.openxmlformats.org/officeDocument/2006/relationships/hyperlink" Target="https://youtu.be/j4TPE6ZV4nw" TargetMode="External"/><Relationship Id="rId52" Type="http://schemas.openxmlformats.org/officeDocument/2006/relationships/hyperlink" Target="https://youtu.be/F0c9YLIq5dU" TargetMode="External"/><Relationship Id="rId94" Type="http://schemas.openxmlformats.org/officeDocument/2006/relationships/hyperlink" Target="https://youtu.be/BxvGJ7Fj0Ts" TargetMode="External"/><Relationship Id="rId148" Type="http://schemas.openxmlformats.org/officeDocument/2006/relationships/hyperlink" Target="https://youtu.be/MIuAXjHIEQs" TargetMode="External"/><Relationship Id="rId355" Type="http://schemas.openxmlformats.org/officeDocument/2006/relationships/hyperlink" Target="https://youtu.be/Vv63RbOcEys" TargetMode="External"/><Relationship Id="rId397" Type="http://schemas.openxmlformats.org/officeDocument/2006/relationships/hyperlink" Target="https://youtu.be/3E_M_4JrTIQ" TargetMode="External"/><Relationship Id="rId520" Type="http://schemas.openxmlformats.org/officeDocument/2006/relationships/hyperlink" Target="https://youtu.be/zExhdFHldNY" TargetMode="External"/><Relationship Id="rId562" Type="http://schemas.openxmlformats.org/officeDocument/2006/relationships/hyperlink" Target="https://youtu.be/GPGKhgTmu_o" TargetMode="External"/><Relationship Id="rId618" Type="http://schemas.openxmlformats.org/officeDocument/2006/relationships/hyperlink" Target="https://youtu.be/GFKr1_ZhNgI" TargetMode="External"/><Relationship Id="rId825" Type="http://schemas.openxmlformats.org/officeDocument/2006/relationships/hyperlink" Target="https://youtu.be/ViSQ6h3p_C0" TargetMode="External"/><Relationship Id="rId215" Type="http://schemas.openxmlformats.org/officeDocument/2006/relationships/hyperlink" Target="https://youtu.be/aKgL7_FxHd0" TargetMode="External"/><Relationship Id="rId257" Type="http://schemas.openxmlformats.org/officeDocument/2006/relationships/hyperlink" Target="https://youtu.be/jl_urtmEkoU" TargetMode="External"/><Relationship Id="rId422" Type="http://schemas.openxmlformats.org/officeDocument/2006/relationships/hyperlink" Target="https://www.youtube.com/watch?v=hbwJjlsg4T0&amp;t=567s" TargetMode="External"/><Relationship Id="rId464" Type="http://schemas.openxmlformats.org/officeDocument/2006/relationships/hyperlink" Target="https://youtu.be/vlXSolP6MDk" TargetMode="External"/><Relationship Id="rId299" Type="http://schemas.openxmlformats.org/officeDocument/2006/relationships/hyperlink" Target="https://youtu.be/N2ofOSCBw7g" TargetMode="External"/><Relationship Id="rId727" Type="http://schemas.openxmlformats.org/officeDocument/2006/relationships/hyperlink" Target="https://youtu.be/J3XTB9LRX4U" TargetMode="External"/><Relationship Id="rId63" Type="http://schemas.openxmlformats.org/officeDocument/2006/relationships/hyperlink" Target="https://youtu.be/k3FbgsVb6DM" TargetMode="External"/><Relationship Id="rId159" Type="http://schemas.openxmlformats.org/officeDocument/2006/relationships/hyperlink" Target="https://youtu.be/m65I8Ces7BQ" TargetMode="External"/><Relationship Id="rId366" Type="http://schemas.openxmlformats.org/officeDocument/2006/relationships/hyperlink" Target="https://youtu.be/72rMhlOpxk0" TargetMode="External"/><Relationship Id="rId573" Type="http://schemas.openxmlformats.org/officeDocument/2006/relationships/hyperlink" Target="https://youtu.be/9TJU3U700zM" TargetMode="External"/><Relationship Id="rId780" Type="http://schemas.openxmlformats.org/officeDocument/2006/relationships/hyperlink" Target="https://youtu.be/VjKztbSpD7s" TargetMode="External"/><Relationship Id="rId226" Type="http://schemas.openxmlformats.org/officeDocument/2006/relationships/hyperlink" Target="https://youtu.be/aS1n-GmfeSM" TargetMode="External"/><Relationship Id="rId433" Type="http://schemas.openxmlformats.org/officeDocument/2006/relationships/hyperlink" Target="https://www.youtube.com/watch?v=bLB1-aVOHA8&amp;t=2s" TargetMode="External"/><Relationship Id="rId640" Type="http://schemas.openxmlformats.org/officeDocument/2006/relationships/hyperlink" Target="https://youtu.be/iXQ54fBOlPk" TargetMode="External"/><Relationship Id="rId738" Type="http://schemas.openxmlformats.org/officeDocument/2006/relationships/hyperlink" Target="https://youtu.be/1MCjwmmXH7w" TargetMode="External"/><Relationship Id="rId74" Type="http://schemas.openxmlformats.org/officeDocument/2006/relationships/hyperlink" Target="https://youtu.be/y2CIlCDWAdw" TargetMode="External"/><Relationship Id="rId377" Type="http://schemas.openxmlformats.org/officeDocument/2006/relationships/hyperlink" Target="https://youtu.be/O0IQBqg-IfY" TargetMode="External"/><Relationship Id="rId500" Type="http://schemas.openxmlformats.org/officeDocument/2006/relationships/hyperlink" Target="https://youtu.be/OqRvOHHBLs8" TargetMode="External"/><Relationship Id="rId584" Type="http://schemas.openxmlformats.org/officeDocument/2006/relationships/hyperlink" Target="https://youtu.be/uqX5pSf41wU" TargetMode="External"/><Relationship Id="rId805" Type="http://schemas.openxmlformats.org/officeDocument/2006/relationships/hyperlink" Target="https://youtu.be/Y3n0pSbsD-o" TargetMode="External"/><Relationship Id="rId5" Type="http://schemas.openxmlformats.org/officeDocument/2006/relationships/hyperlink" Target="https://youtu.be/dkAszUX3bC4" TargetMode="External"/><Relationship Id="rId237" Type="http://schemas.openxmlformats.org/officeDocument/2006/relationships/hyperlink" Target="https://youtu.be/bXejFPaRf70" TargetMode="External"/><Relationship Id="rId791" Type="http://schemas.openxmlformats.org/officeDocument/2006/relationships/hyperlink" Target="https://youtu.be/o5OwVq5n4ps" TargetMode="External"/><Relationship Id="rId444" Type="http://schemas.openxmlformats.org/officeDocument/2006/relationships/hyperlink" Target="https://youtu.be/jrBzkjVaf4E" TargetMode="External"/><Relationship Id="rId651" Type="http://schemas.openxmlformats.org/officeDocument/2006/relationships/hyperlink" Target="https://youtu.be/fIlciM63TLE" TargetMode="External"/><Relationship Id="rId749" Type="http://schemas.openxmlformats.org/officeDocument/2006/relationships/hyperlink" Target="https://youtu.be/HG_niTkN0gA" TargetMode="External"/><Relationship Id="rId290" Type="http://schemas.openxmlformats.org/officeDocument/2006/relationships/hyperlink" Target="https://youtu.be/xJNt4tPGOiU" TargetMode="External"/><Relationship Id="rId304" Type="http://schemas.openxmlformats.org/officeDocument/2006/relationships/hyperlink" Target="https://youtu.be/6A4c0YofrrI" TargetMode="External"/><Relationship Id="rId388" Type="http://schemas.openxmlformats.org/officeDocument/2006/relationships/hyperlink" Target="https://youtu.be/-LH0aPvnnGg" TargetMode="External"/><Relationship Id="rId511" Type="http://schemas.openxmlformats.org/officeDocument/2006/relationships/hyperlink" Target="https://youtu.be/C49wMfj6KP0" TargetMode="External"/><Relationship Id="rId609" Type="http://schemas.openxmlformats.org/officeDocument/2006/relationships/hyperlink" Target="https://youtu.be/CVA3I2inBAE" TargetMode="External"/><Relationship Id="rId85" Type="http://schemas.openxmlformats.org/officeDocument/2006/relationships/hyperlink" Target="https://youtu.be/p-uMa0XPQIc" TargetMode="External"/><Relationship Id="rId150" Type="http://schemas.openxmlformats.org/officeDocument/2006/relationships/hyperlink" Target="https://youtu.be/3YE_ieq-hxI" TargetMode="External"/><Relationship Id="rId595" Type="http://schemas.openxmlformats.org/officeDocument/2006/relationships/hyperlink" Target="https://youtu.be/EYApFdRZznA" TargetMode="External"/><Relationship Id="rId816" Type="http://schemas.openxmlformats.org/officeDocument/2006/relationships/hyperlink" Target="https://youtu.be/V5UKizsGCa0" TargetMode="External"/><Relationship Id="rId248" Type="http://schemas.openxmlformats.org/officeDocument/2006/relationships/hyperlink" Target="https://youtu.be/6PWUvrr-g4E" TargetMode="External"/><Relationship Id="rId455" Type="http://schemas.openxmlformats.org/officeDocument/2006/relationships/hyperlink" Target="https://youtu.be/-HBYN1kebR0" TargetMode="External"/><Relationship Id="rId662" Type="http://schemas.openxmlformats.org/officeDocument/2006/relationships/hyperlink" Target="https://youtu.be/17dEbecypfE" TargetMode="External"/><Relationship Id="rId12" Type="http://schemas.openxmlformats.org/officeDocument/2006/relationships/hyperlink" Target="https://youtu.be/yMwbubUlmgM" TargetMode="External"/><Relationship Id="rId108" Type="http://schemas.openxmlformats.org/officeDocument/2006/relationships/hyperlink" Target="https://youtu.be/6y1l97oX5vI" TargetMode="External"/><Relationship Id="rId315" Type="http://schemas.openxmlformats.org/officeDocument/2006/relationships/hyperlink" Target="https://youtu.be/GcVyR_GB1GY" TargetMode="External"/><Relationship Id="rId522" Type="http://schemas.openxmlformats.org/officeDocument/2006/relationships/hyperlink" Target="https://youtu.be/KEWIozUNOlI" TargetMode="External"/><Relationship Id="rId96" Type="http://schemas.openxmlformats.org/officeDocument/2006/relationships/hyperlink" Target="https://youtu.be/7_gtJPblld4" TargetMode="External"/><Relationship Id="rId161" Type="http://schemas.openxmlformats.org/officeDocument/2006/relationships/hyperlink" Target="https://youtu.be/hGYs6TXqlEM" TargetMode="External"/><Relationship Id="rId399" Type="http://schemas.openxmlformats.org/officeDocument/2006/relationships/hyperlink" Target="https://youtu.be/ZVaPrsD4oHI" TargetMode="External"/><Relationship Id="rId827" Type="http://schemas.openxmlformats.org/officeDocument/2006/relationships/hyperlink" Target="https://youtu.be/yz007Fxx3ts" TargetMode="External"/><Relationship Id="rId259" Type="http://schemas.openxmlformats.org/officeDocument/2006/relationships/hyperlink" Target="https://youtu.be/5sBUx6TXDLs" TargetMode="External"/><Relationship Id="rId466" Type="http://schemas.openxmlformats.org/officeDocument/2006/relationships/hyperlink" Target="https://youtu.be/vl6DaJkJaGs" TargetMode="External"/><Relationship Id="rId673" Type="http://schemas.openxmlformats.org/officeDocument/2006/relationships/hyperlink" Target="https://youtu.be/OS9aLEoCIyo" TargetMode="External"/><Relationship Id="rId23" Type="http://schemas.openxmlformats.org/officeDocument/2006/relationships/hyperlink" Target="https://youtu.be/Vcwfga4A17M" TargetMode="External"/><Relationship Id="rId119" Type="http://schemas.openxmlformats.org/officeDocument/2006/relationships/hyperlink" Target="https://youtu.be/6oCfnDFfew0" TargetMode="External"/><Relationship Id="rId326" Type="http://schemas.openxmlformats.org/officeDocument/2006/relationships/hyperlink" Target="https://youtu.be/uqI_SgYWBYs" TargetMode="External"/><Relationship Id="rId533" Type="http://schemas.openxmlformats.org/officeDocument/2006/relationships/hyperlink" Target="https://youtu.be/XMtZJ1lBUFw" TargetMode="External"/><Relationship Id="rId740" Type="http://schemas.openxmlformats.org/officeDocument/2006/relationships/hyperlink" Target="https://youtu.be/NwYkLBwE0ow" TargetMode="External"/><Relationship Id="rId838" Type="http://schemas.openxmlformats.org/officeDocument/2006/relationships/hyperlink" Target="https://youtu.be/1lzD8IcpvzY" TargetMode="External"/><Relationship Id="rId172" Type="http://schemas.openxmlformats.org/officeDocument/2006/relationships/hyperlink" Target="https://youtu.be/aNsMexhCOos" TargetMode="External"/><Relationship Id="rId477" Type="http://schemas.openxmlformats.org/officeDocument/2006/relationships/hyperlink" Target="https://youtu.be/PsZKwEpnRng" TargetMode="External"/><Relationship Id="rId600" Type="http://schemas.openxmlformats.org/officeDocument/2006/relationships/hyperlink" Target="https://youtu.be/Fk18X38Mn4o" TargetMode="External"/><Relationship Id="rId684" Type="http://schemas.openxmlformats.org/officeDocument/2006/relationships/hyperlink" Target="https://youtu.be/OpMNdHWPn3o" TargetMode="External"/><Relationship Id="rId337" Type="http://schemas.openxmlformats.org/officeDocument/2006/relationships/hyperlink" Target="https://youtu.be/WxsALQTbros" TargetMode="External"/><Relationship Id="rId34" Type="http://schemas.openxmlformats.org/officeDocument/2006/relationships/hyperlink" Target="https://youtu.be/Ud5KO6ZjMcI" TargetMode="External"/><Relationship Id="rId544" Type="http://schemas.openxmlformats.org/officeDocument/2006/relationships/hyperlink" Target="https://youtu.be/ilpdWtPPjek" TargetMode="External"/><Relationship Id="rId751" Type="http://schemas.openxmlformats.org/officeDocument/2006/relationships/hyperlink" Target="https://youtu.be/kFV6_8Knr_0" TargetMode="External"/><Relationship Id="rId849" Type="http://schemas.microsoft.com/office/2017/10/relationships/threadedComment" Target="../threadedComments/threadedComment5.xml"/><Relationship Id="rId183" Type="http://schemas.openxmlformats.org/officeDocument/2006/relationships/hyperlink" Target="https://youtu.be/3WppwJwFHVc" TargetMode="External"/><Relationship Id="rId390" Type="http://schemas.openxmlformats.org/officeDocument/2006/relationships/hyperlink" Target="https://youtu.be/oiDsEvaxr9s" TargetMode="External"/><Relationship Id="rId404" Type="http://schemas.openxmlformats.org/officeDocument/2006/relationships/hyperlink" Target="https://youtu.be/BikK3LrhjiA" TargetMode="External"/><Relationship Id="rId611" Type="http://schemas.openxmlformats.org/officeDocument/2006/relationships/hyperlink" Target="https://youtu.be/rfw05ZbBYLc" TargetMode="External"/><Relationship Id="rId250" Type="http://schemas.openxmlformats.org/officeDocument/2006/relationships/hyperlink" Target="https://youtu.be/cNyojazCoPY" TargetMode="External"/><Relationship Id="rId488" Type="http://schemas.openxmlformats.org/officeDocument/2006/relationships/hyperlink" Target="https://youtu.be/VR9SFhBPjZQ" TargetMode="External"/><Relationship Id="rId695" Type="http://schemas.openxmlformats.org/officeDocument/2006/relationships/hyperlink" Target="https://youtu.be/D_JD8mSdazs" TargetMode="External"/><Relationship Id="rId709" Type="http://schemas.openxmlformats.org/officeDocument/2006/relationships/hyperlink" Target="https://youtu.be/Vn7o7SqSYFc" TargetMode="External"/><Relationship Id="rId45" Type="http://schemas.openxmlformats.org/officeDocument/2006/relationships/hyperlink" Target="https://youtu.be/4XYBSIZM2cs" TargetMode="External"/><Relationship Id="rId110" Type="http://schemas.openxmlformats.org/officeDocument/2006/relationships/hyperlink" Target="https://youtu.be/GrNFug-Ju28" TargetMode="External"/><Relationship Id="rId348" Type="http://schemas.openxmlformats.org/officeDocument/2006/relationships/hyperlink" Target="https://youtu.be/pOk5GaXOufM" TargetMode="External"/><Relationship Id="rId555" Type="http://schemas.openxmlformats.org/officeDocument/2006/relationships/hyperlink" Target="https://youtu.be/WZyG716ASnk" TargetMode="External"/><Relationship Id="rId762" Type="http://schemas.openxmlformats.org/officeDocument/2006/relationships/hyperlink" Target="https://youtu.be/UP_NkN0UWOE" TargetMode="External"/><Relationship Id="rId194" Type="http://schemas.openxmlformats.org/officeDocument/2006/relationships/hyperlink" Target="https://youtu.be/2O-Yqg_mtHg" TargetMode="External"/><Relationship Id="rId208" Type="http://schemas.openxmlformats.org/officeDocument/2006/relationships/hyperlink" Target="https://youtu.be/uFZvFJiez0c" TargetMode="External"/><Relationship Id="rId415" Type="http://schemas.openxmlformats.org/officeDocument/2006/relationships/hyperlink" Target="https://youtu.be/dHERTiEkYes" TargetMode="External"/><Relationship Id="rId622" Type="http://schemas.openxmlformats.org/officeDocument/2006/relationships/hyperlink" Target="https://youtu.be/mW9Zahg5Ruk" TargetMode="External"/><Relationship Id="rId261" Type="http://schemas.openxmlformats.org/officeDocument/2006/relationships/hyperlink" Target="https://youtu.be/wTWUTxb3QDk" TargetMode="External"/><Relationship Id="rId499" Type="http://schemas.openxmlformats.org/officeDocument/2006/relationships/hyperlink" Target="https://youtu.be/P-2V87gaZow" TargetMode="External"/><Relationship Id="rId56" Type="http://schemas.openxmlformats.org/officeDocument/2006/relationships/hyperlink" Target="https://youtu.be/HP46l0XzsEM" TargetMode="External"/><Relationship Id="rId359" Type="http://schemas.openxmlformats.org/officeDocument/2006/relationships/hyperlink" Target="https://youtu.be/ehx-jGi0-AU" TargetMode="External"/><Relationship Id="rId566" Type="http://schemas.openxmlformats.org/officeDocument/2006/relationships/hyperlink" Target="https://youtu.be/YmfkAtR4opw" TargetMode="External"/><Relationship Id="rId773" Type="http://schemas.openxmlformats.org/officeDocument/2006/relationships/hyperlink" Target="https://youtu.be/jXuSrBvV-uw" TargetMode="External"/><Relationship Id="rId121" Type="http://schemas.openxmlformats.org/officeDocument/2006/relationships/hyperlink" Target="https://youtu.be/w8o-dyXii8A" TargetMode="External"/><Relationship Id="rId219" Type="http://schemas.openxmlformats.org/officeDocument/2006/relationships/hyperlink" Target="https://youtu.be/3kuyUNfIcjU" TargetMode="External"/><Relationship Id="rId426" Type="http://schemas.openxmlformats.org/officeDocument/2006/relationships/hyperlink" Target="https://www.youtube.com/watch?v=8dLDnRyZyIo" TargetMode="External"/><Relationship Id="rId633" Type="http://schemas.openxmlformats.org/officeDocument/2006/relationships/hyperlink" Target="https://youtu.be/kTsL_Lp-T0U" TargetMode="External"/><Relationship Id="rId840" Type="http://schemas.openxmlformats.org/officeDocument/2006/relationships/hyperlink" Target="https://youtu.be/PY_NK650QoI" TargetMode="External"/><Relationship Id="rId67" Type="http://schemas.openxmlformats.org/officeDocument/2006/relationships/hyperlink" Target="https://youtu.be/gXU2xZ5sR74" TargetMode="External"/><Relationship Id="rId272" Type="http://schemas.openxmlformats.org/officeDocument/2006/relationships/hyperlink" Target="https://www.youtube.com/watch?v=qynHlQkj93Y" TargetMode="External"/><Relationship Id="rId577" Type="http://schemas.openxmlformats.org/officeDocument/2006/relationships/hyperlink" Target="https://youtu.be/ef8g9Y1SJVU" TargetMode="External"/><Relationship Id="rId700" Type="http://schemas.openxmlformats.org/officeDocument/2006/relationships/hyperlink" Target="https://youtu.be/zF0lGFDfBpc" TargetMode="External"/><Relationship Id="rId132" Type="http://schemas.openxmlformats.org/officeDocument/2006/relationships/hyperlink" Target="https://youtu.be/Tv9dX16uhDk" TargetMode="External"/><Relationship Id="rId784" Type="http://schemas.openxmlformats.org/officeDocument/2006/relationships/hyperlink" Target="https://youtu.be/AA8mxDf0kIM" TargetMode="External"/><Relationship Id="rId437" Type="http://schemas.openxmlformats.org/officeDocument/2006/relationships/hyperlink" Target="https://youtu.be/xlKSl-ltzHA" TargetMode="External"/><Relationship Id="rId644" Type="http://schemas.openxmlformats.org/officeDocument/2006/relationships/hyperlink" Target="https://youtu.be/0aPzdqLQezg" TargetMode="External"/><Relationship Id="rId283" Type="http://schemas.openxmlformats.org/officeDocument/2006/relationships/hyperlink" Target="https://youtu.be/NMsFeCmrhks" TargetMode="External"/><Relationship Id="rId490" Type="http://schemas.openxmlformats.org/officeDocument/2006/relationships/hyperlink" Target="https://youtu.be/5zClWuY2gv4" TargetMode="External"/><Relationship Id="rId504" Type="http://schemas.openxmlformats.org/officeDocument/2006/relationships/hyperlink" Target="https://youtu.be/ARuFzwjIx-k" TargetMode="External"/><Relationship Id="rId711" Type="http://schemas.openxmlformats.org/officeDocument/2006/relationships/hyperlink" Target="https://youtu.be/uXChDOuJo1c" TargetMode="External"/><Relationship Id="rId78" Type="http://schemas.openxmlformats.org/officeDocument/2006/relationships/hyperlink" Target="https://youtu.be/2WjQIfth1iw" TargetMode="External"/><Relationship Id="rId143" Type="http://schemas.openxmlformats.org/officeDocument/2006/relationships/hyperlink" Target="https://youtu.be/GmPIPIvqLQ8" TargetMode="External"/><Relationship Id="rId350" Type="http://schemas.openxmlformats.org/officeDocument/2006/relationships/hyperlink" Target="https://youtu.be/PYJHce9r2AA" TargetMode="External"/><Relationship Id="rId588" Type="http://schemas.openxmlformats.org/officeDocument/2006/relationships/hyperlink" Target="https://youtu.be/N2bfqi4Onys" TargetMode="External"/><Relationship Id="rId795" Type="http://schemas.openxmlformats.org/officeDocument/2006/relationships/hyperlink" Target="https://youtu.be/FDg7ZoLau8k" TargetMode="External"/><Relationship Id="rId809" Type="http://schemas.openxmlformats.org/officeDocument/2006/relationships/hyperlink" Target="https://youtu.be/CIZOYJoBNM8" TargetMode="External"/><Relationship Id="rId9" Type="http://schemas.openxmlformats.org/officeDocument/2006/relationships/hyperlink" Target="https://youtu.be/kQ7mE5d39UQ" TargetMode="External"/><Relationship Id="rId210" Type="http://schemas.openxmlformats.org/officeDocument/2006/relationships/hyperlink" Target="https://youtu.be/lra8zPRrv20" TargetMode="External"/><Relationship Id="rId448" Type="http://schemas.openxmlformats.org/officeDocument/2006/relationships/hyperlink" Target="https://youtu.be/C7ey5VKOnp8" TargetMode="External"/><Relationship Id="rId655" Type="http://schemas.openxmlformats.org/officeDocument/2006/relationships/hyperlink" Target="https://youtu.be/RcJoHOw7fbM" TargetMode="External"/><Relationship Id="rId294" Type="http://schemas.openxmlformats.org/officeDocument/2006/relationships/hyperlink" Target="https://youtu.be/DYB1hSYE_sg" TargetMode="External"/><Relationship Id="rId308" Type="http://schemas.openxmlformats.org/officeDocument/2006/relationships/hyperlink" Target="https://youtu.be/BgDDyE-DQHc" TargetMode="External"/><Relationship Id="rId515" Type="http://schemas.openxmlformats.org/officeDocument/2006/relationships/hyperlink" Target="https://youtu.be/_MmyDB0bwsI" TargetMode="External"/><Relationship Id="rId722" Type="http://schemas.openxmlformats.org/officeDocument/2006/relationships/hyperlink" Target="https://youtu.be/-sO2dYxh0EU" TargetMode="External"/><Relationship Id="rId89" Type="http://schemas.openxmlformats.org/officeDocument/2006/relationships/hyperlink" Target="https://youtu.be/mzEXdwdWM6s" TargetMode="External"/><Relationship Id="rId154" Type="http://schemas.openxmlformats.org/officeDocument/2006/relationships/hyperlink" Target="https://youtu.be/UUhycAwn9BM" TargetMode="External"/><Relationship Id="rId361" Type="http://schemas.openxmlformats.org/officeDocument/2006/relationships/hyperlink" Target="https://youtu.be/so0dh63mM0o" TargetMode="External"/><Relationship Id="rId599" Type="http://schemas.openxmlformats.org/officeDocument/2006/relationships/hyperlink" Target="https://youtu.be/dKM83WB6pwQ" TargetMode="External"/><Relationship Id="rId459" Type="http://schemas.openxmlformats.org/officeDocument/2006/relationships/hyperlink" Target="https://youtu.be/w3dX97i4v2c" TargetMode="External"/><Relationship Id="rId666" Type="http://schemas.openxmlformats.org/officeDocument/2006/relationships/hyperlink" Target="https://youtu.be/GtFf8ZZYVE4" TargetMode="External"/><Relationship Id="rId16" Type="http://schemas.openxmlformats.org/officeDocument/2006/relationships/hyperlink" Target="https://youtu.be/yNOOqIk-YCc" TargetMode="External"/><Relationship Id="rId221" Type="http://schemas.openxmlformats.org/officeDocument/2006/relationships/hyperlink" Target="https://youtu.be/CaNChuUXOtY" TargetMode="External"/><Relationship Id="rId319" Type="http://schemas.openxmlformats.org/officeDocument/2006/relationships/hyperlink" Target="https://youtu.be/kSpLKZaW0XQ" TargetMode="External"/><Relationship Id="rId526" Type="http://schemas.openxmlformats.org/officeDocument/2006/relationships/hyperlink" Target="https://youtu.be/vdhnCBe5djQ" TargetMode="External"/><Relationship Id="rId733" Type="http://schemas.openxmlformats.org/officeDocument/2006/relationships/hyperlink" Target="https://youtu.be/27CpJDUOnZs" TargetMode="External"/><Relationship Id="rId165" Type="http://schemas.openxmlformats.org/officeDocument/2006/relationships/hyperlink" Target="https://youtu.be/GzocjO4XK34" TargetMode="External"/><Relationship Id="rId372" Type="http://schemas.openxmlformats.org/officeDocument/2006/relationships/hyperlink" Target="https://youtu.be/2Hly7uH33ws" TargetMode="External"/><Relationship Id="rId677" Type="http://schemas.openxmlformats.org/officeDocument/2006/relationships/hyperlink" Target="https://youtu.be/iFFrLLgxLIs" TargetMode="External"/><Relationship Id="rId800" Type="http://schemas.openxmlformats.org/officeDocument/2006/relationships/hyperlink" Target="https://youtu.be/Lk6uJ_Ixmxg" TargetMode="External"/><Relationship Id="rId232" Type="http://schemas.openxmlformats.org/officeDocument/2006/relationships/hyperlink" Target="https://youtu.be/1xHEJ2wxG-I" TargetMode="External"/><Relationship Id="rId27" Type="http://schemas.openxmlformats.org/officeDocument/2006/relationships/hyperlink" Target="https://youtu.be/bEoXtI62BEU" TargetMode="External"/><Relationship Id="rId537" Type="http://schemas.openxmlformats.org/officeDocument/2006/relationships/hyperlink" Target="https://youtu.be/drgIK0luJCo" TargetMode="External"/><Relationship Id="rId744" Type="http://schemas.openxmlformats.org/officeDocument/2006/relationships/hyperlink" Target="https://youtu.be/exYvsThlNBA" TargetMode="External"/><Relationship Id="rId80" Type="http://schemas.openxmlformats.org/officeDocument/2006/relationships/hyperlink" Target="https://youtu.be/wozD-nY2ITI" TargetMode="External"/><Relationship Id="rId176" Type="http://schemas.openxmlformats.org/officeDocument/2006/relationships/hyperlink" Target="https://youtu.be/mJSH2cAV4RI" TargetMode="External"/><Relationship Id="rId383" Type="http://schemas.openxmlformats.org/officeDocument/2006/relationships/hyperlink" Target="https://youtu.be/V2gimdQP0Dk" TargetMode="External"/><Relationship Id="rId590" Type="http://schemas.openxmlformats.org/officeDocument/2006/relationships/hyperlink" Target="https://youtu.be/EfTlGdRLirQ" TargetMode="External"/><Relationship Id="rId604" Type="http://schemas.openxmlformats.org/officeDocument/2006/relationships/hyperlink" Target="https://youtu.be/AVBvcXeenPg" TargetMode="External"/><Relationship Id="rId811" Type="http://schemas.openxmlformats.org/officeDocument/2006/relationships/hyperlink" Target="https://youtu.be/HtevapOfGko" TargetMode="External"/><Relationship Id="rId243" Type="http://schemas.openxmlformats.org/officeDocument/2006/relationships/hyperlink" Target="https://youtu.be/ycXFVvr1MI8" TargetMode="External"/><Relationship Id="rId450" Type="http://schemas.openxmlformats.org/officeDocument/2006/relationships/hyperlink" Target="https://youtu.be/Jm5gStUzqQc" TargetMode="External"/><Relationship Id="rId688" Type="http://schemas.openxmlformats.org/officeDocument/2006/relationships/hyperlink" Target="https://youtu.be/EE82_DVsf1E" TargetMode="External"/><Relationship Id="rId38" Type="http://schemas.openxmlformats.org/officeDocument/2006/relationships/hyperlink" Target="https://youtu.be/uV7HlO5eFbE" TargetMode="External"/><Relationship Id="rId103" Type="http://schemas.openxmlformats.org/officeDocument/2006/relationships/hyperlink" Target="https://youtu.be/YpEZQK_y-P4" TargetMode="External"/><Relationship Id="rId310" Type="http://schemas.openxmlformats.org/officeDocument/2006/relationships/hyperlink" Target="https://youtu.be/PDIQUj5V5GU" TargetMode="External"/><Relationship Id="rId548" Type="http://schemas.openxmlformats.org/officeDocument/2006/relationships/hyperlink" Target="https://youtu.be/zv5wKfS7FYM" TargetMode="External"/><Relationship Id="rId755" Type="http://schemas.openxmlformats.org/officeDocument/2006/relationships/hyperlink" Target="https://youtu.be/ynFyriLaTlY" TargetMode="External"/><Relationship Id="rId91" Type="http://schemas.openxmlformats.org/officeDocument/2006/relationships/hyperlink" Target="https://youtu.be/CpWQrmtUe48" TargetMode="External"/><Relationship Id="rId187" Type="http://schemas.openxmlformats.org/officeDocument/2006/relationships/hyperlink" Target="https://youtu.be/aitDZifY8hc" TargetMode="External"/><Relationship Id="rId394" Type="http://schemas.openxmlformats.org/officeDocument/2006/relationships/hyperlink" Target="https://youtu.be/x7gpc-U_3F4" TargetMode="External"/><Relationship Id="rId408" Type="http://schemas.openxmlformats.org/officeDocument/2006/relationships/hyperlink" Target="https://youtu.be/sxZ4Rs9Wntc" TargetMode="External"/><Relationship Id="rId615" Type="http://schemas.openxmlformats.org/officeDocument/2006/relationships/hyperlink" Target="https://youtu.be/ykq_f6WYTrM" TargetMode="External"/><Relationship Id="rId822" Type="http://schemas.openxmlformats.org/officeDocument/2006/relationships/hyperlink" Target="https://youtu.be/kiea37Eu8sI" TargetMode="External"/><Relationship Id="rId254" Type="http://schemas.openxmlformats.org/officeDocument/2006/relationships/hyperlink" Target="https://youtu.be/xLeYUuCmfX0" TargetMode="External"/><Relationship Id="rId699" Type="http://schemas.openxmlformats.org/officeDocument/2006/relationships/hyperlink" Target="https://youtu.be/nvbSPXsmyfI" TargetMode="External"/><Relationship Id="rId49" Type="http://schemas.openxmlformats.org/officeDocument/2006/relationships/hyperlink" Target="https://youtu.be/8O5K-bQQ97o" TargetMode="External"/><Relationship Id="rId114" Type="http://schemas.openxmlformats.org/officeDocument/2006/relationships/hyperlink" Target="https://youtu.be/0sSHxo6ot5U" TargetMode="External"/><Relationship Id="rId461" Type="http://schemas.openxmlformats.org/officeDocument/2006/relationships/hyperlink" Target="https://youtu.be/rffV9kvxjh8" TargetMode="External"/><Relationship Id="rId559" Type="http://schemas.openxmlformats.org/officeDocument/2006/relationships/hyperlink" Target="https://youtu.be/VusblGM--nE" TargetMode="External"/><Relationship Id="rId766" Type="http://schemas.openxmlformats.org/officeDocument/2006/relationships/hyperlink" Target="https://youtu.be/Z5hhMuPkUU0" TargetMode="External"/><Relationship Id="rId198" Type="http://schemas.openxmlformats.org/officeDocument/2006/relationships/hyperlink" Target="https://youtu.be/SLBsZQVjdbM" TargetMode="External"/><Relationship Id="rId321" Type="http://schemas.openxmlformats.org/officeDocument/2006/relationships/hyperlink" Target="https://youtu.be/vhr56G8ZtuU" TargetMode="External"/><Relationship Id="rId419" Type="http://schemas.openxmlformats.org/officeDocument/2006/relationships/hyperlink" Target="https://youtu.be/Tlg93XTmS1E" TargetMode="External"/><Relationship Id="rId626" Type="http://schemas.openxmlformats.org/officeDocument/2006/relationships/hyperlink" Target="https://youtu.be/KJl4qrJgtoc" TargetMode="External"/><Relationship Id="rId833" Type="http://schemas.openxmlformats.org/officeDocument/2006/relationships/hyperlink" Target="https://youtu.be/UywERm_R8A0" TargetMode="External"/><Relationship Id="rId265" Type="http://schemas.openxmlformats.org/officeDocument/2006/relationships/hyperlink" Target="https://youtu.be/zERma0VyQUs" TargetMode="External"/><Relationship Id="rId472" Type="http://schemas.openxmlformats.org/officeDocument/2006/relationships/hyperlink" Target="https://youtu.be/e8r0QNzM4QI" TargetMode="External"/><Relationship Id="rId125" Type="http://schemas.openxmlformats.org/officeDocument/2006/relationships/hyperlink" Target="https://youtu.be/Oe3vt4w4BuU" TargetMode="External"/><Relationship Id="rId332" Type="http://schemas.openxmlformats.org/officeDocument/2006/relationships/hyperlink" Target="https://youtu.be/1fT1nVfbW-4" TargetMode="External"/><Relationship Id="rId777" Type="http://schemas.openxmlformats.org/officeDocument/2006/relationships/hyperlink" Target="https://youtu.be/Hi145T65iZg" TargetMode="External"/><Relationship Id="rId637" Type="http://schemas.openxmlformats.org/officeDocument/2006/relationships/hyperlink" Target="https://youtu.be/ZXjBDtvehA4" TargetMode="External"/><Relationship Id="rId844" Type="http://schemas.openxmlformats.org/officeDocument/2006/relationships/hyperlink" Target="https://youtu.be/y51uoDjlUUk" TargetMode="External"/><Relationship Id="rId276" Type="http://schemas.openxmlformats.org/officeDocument/2006/relationships/hyperlink" Target="https://youtu.be/emBLm1HPM6s" TargetMode="External"/><Relationship Id="rId483" Type="http://schemas.openxmlformats.org/officeDocument/2006/relationships/hyperlink" Target="https://youtu.be/qnCGVnsGGQ0" TargetMode="External"/><Relationship Id="rId690" Type="http://schemas.openxmlformats.org/officeDocument/2006/relationships/hyperlink" Target="https://youtu.be/uL3-GYu8KiI" TargetMode="External"/><Relationship Id="rId704" Type="http://schemas.openxmlformats.org/officeDocument/2006/relationships/hyperlink" Target="https://youtu.be/xNm4-74I7rQ" TargetMode="External"/><Relationship Id="rId40" Type="http://schemas.openxmlformats.org/officeDocument/2006/relationships/hyperlink" Target="https://youtu.be/5knJYIeBXtY" TargetMode="External"/><Relationship Id="rId136" Type="http://schemas.openxmlformats.org/officeDocument/2006/relationships/hyperlink" Target="https://youtu.be/gXyc-Mvdc2k" TargetMode="External"/><Relationship Id="rId343" Type="http://schemas.openxmlformats.org/officeDocument/2006/relationships/hyperlink" Target="https://youtu.be/2tPipED1oQA" TargetMode="External"/><Relationship Id="rId550" Type="http://schemas.openxmlformats.org/officeDocument/2006/relationships/hyperlink" Target="https://youtu.be/vKPKYbVAb7o" TargetMode="External"/><Relationship Id="rId788" Type="http://schemas.openxmlformats.org/officeDocument/2006/relationships/hyperlink" Target="https://youtu.be/s6mVML0Ww0Y" TargetMode="External"/><Relationship Id="rId203" Type="http://schemas.openxmlformats.org/officeDocument/2006/relationships/hyperlink" Target="https://youtu.be/vMVNXEr6JXA" TargetMode="External"/><Relationship Id="rId648" Type="http://schemas.openxmlformats.org/officeDocument/2006/relationships/hyperlink" Target="https://youtu.be/4Z5JhJylsic" TargetMode="External"/><Relationship Id="rId287" Type="http://schemas.openxmlformats.org/officeDocument/2006/relationships/hyperlink" Target="https://youtu.be/BcEFyFcVirI" TargetMode="External"/><Relationship Id="rId410" Type="http://schemas.openxmlformats.org/officeDocument/2006/relationships/hyperlink" Target="https://youtu.be/jgsMR7p7JoE" TargetMode="External"/><Relationship Id="rId494" Type="http://schemas.openxmlformats.org/officeDocument/2006/relationships/hyperlink" Target="https://youtu.be/MDLOVDl3ElQ" TargetMode="External"/><Relationship Id="rId508" Type="http://schemas.openxmlformats.org/officeDocument/2006/relationships/hyperlink" Target="https://youtu.be/Txi5-8bX--k" TargetMode="External"/><Relationship Id="rId715" Type="http://schemas.openxmlformats.org/officeDocument/2006/relationships/hyperlink" Target="https://youtu.be/Ylpe4UEniZU" TargetMode="External"/><Relationship Id="rId147" Type="http://schemas.openxmlformats.org/officeDocument/2006/relationships/hyperlink" Target="https://youtu.be/MjfxTov4uNQ" TargetMode="External"/><Relationship Id="rId354" Type="http://schemas.openxmlformats.org/officeDocument/2006/relationships/hyperlink" Target="https://youtu.be/Za4zShtX9g0" TargetMode="External"/><Relationship Id="rId799" Type="http://schemas.openxmlformats.org/officeDocument/2006/relationships/hyperlink" Target="https://youtu.be/IF110FL0QUQ" TargetMode="External"/><Relationship Id="rId51" Type="http://schemas.openxmlformats.org/officeDocument/2006/relationships/hyperlink" Target="https://youtu.be/I9npqB-KkSE" TargetMode="External"/><Relationship Id="rId561" Type="http://schemas.openxmlformats.org/officeDocument/2006/relationships/hyperlink" Target="https://youtu.be/ok5PaRPltcM" TargetMode="External"/><Relationship Id="rId659" Type="http://schemas.openxmlformats.org/officeDocument/2006/relationships/hyperlink" Target="https://youtu.be/Y8Nogbn5ksw" TargetMode="External"/><Relationship Id="rId214" Type="http://schemas.openxmlformats.org/officeDocument/2006/relationships/hyperlink" Target="https://youtu.be/qnN4eN0ZEXw" TargetMode="External"/><Relationship Id="rId298" Type="http://schemas.openxmlformats.org/officeDocument/2006/relationships/hyperlink" Target="https://youtu.be/pwf84732EIQ" TargetMode="External"/><Relationship Id="rId421" Type="http://schemas.openxmlformats.org/officeDocument/2006/relationships/hyperlink" Target="https://www.youtube.com/watch?v=YZITfH6XQTc&amp;t=2s" TargetMode="External"/><Relationship Id="rId519" Type="http://schemas.openxmlformats.org/officeDocument/2006/relationships/hyperlink" Target="https://youtu.be/6tu8ERj7g-Y" TargetMode="External"/><Relationship Id="rId158" Type="http://schemas.openxmlformats.org/officeDocument/2006/relationships/hyperlink" Target="https://youtu.be/A2IT_TK6Erw" TargetMode="External"/><Relationship Id="rId726" Type="http://schemas.openxmlformats.org/officeDocument/2006/relationships/hyperlink" Target="https://youtu.be/LFfaJW1mYSs" TargetMode="External"/><Relationship Id="rId62" Type="http://schemas.openxmlformats.org/officeDocument/2006/relationships/hyperlink" Target="https://youtu.be/n_rZc8IRGHM" TargetMode="External"/><Relationship Id="rId365" Type="http://schemas.openxmlformats.org/officeDocument/2006/relationships/hyperlink" Target="https://youtu.be/jzgK-dXUVnA" TargetMode="External"/><Relationship Id="rId572" Type="http://schemas.openxmlformats.org/officeDocument/2006/relationships/hyperlink" Target="https://youtu.be/E6MP5uXiaEI" TargetMode="External"/><Relationship Id="rId225" Type="http://schemas.openxmlformats.org/officeDocument/2006/relationships/hyperlink" Target="https://youtu.be/ZITSU24h2_I" TargetMode="External"/><Relationship Id="rId432" Type="http://schemas.openxmlformats.org/officeDocument/2006/relationships/hyperlink" Target="https://www.youtube.com/watch?v=WjR9shimvz8&amp;t=146s" TargetMode="External"/><Relationship Id="rId737" Type="http://schemas.openxmlformats.org/officeDocument/2006/relationships/hyperlink" Target="https://youtu.be/5LxQAymnfro" TargetMode="External"/><Relationship Id="rId73" Type="http://schemas.openxmlformats.org/officeDocument/2006/relationships/hyperlink" Target="https://youtu.be/Ot241-L6KbA" TargetMode="External"/><Relationship Id="rId169" Type="http://schemas.openxmlformats.org/officeDocument/2006/relationships/hyperlink" Target="https://youtu.be/rG2-lz5ztbg" TargetMode="External"/><Relationship Id="rId376" Type="http://schemas.openxmlformats.org/officeDocument/2006/relationships/hyperlink" Target="https://youtu.be/qgTzmDkSAvg" TargetMode="External"/><Relationship Id="rId583" Type="http://schemas.openxmlformats.org/officeDocument/2006/relationships/hyperlink" Target="https://youtu.be/OWqlER5Nx4E" TargetMode="External"/><Relationship Id="rId790" Type="http://schemas.openxmlformats.org/officeDocument/2006/relationships/hyperlink" Target="https://youtu.be/G0-mQkQh8yE" TargetMode="External"/><Relationship Id="rId804" Type="http://schemas.openxmlformats.org/officeDocument/2006/relationships/hyperlink" Target="https://youtu.be/aC33U8tcQBM" TargetMode="External"/><Relationship Id="rId4" Type="http://schemas.openxmlformats.org/officeDocument/2006/relationships/hyperlink" Target="https://youtu.be/UiL18gJRq7k" TargetMode="External"/><Relationship Id="rId236" Type="http://schemas.openxmlformats.org/officeDocument/2006/relationships/hyperlink" Target="https://youtu.be/KO-tnCQwoJ8" TargetMode="External"/><Relationship Id="rId443" Type="http://schemas.openxmlformats.org/officeDocument/2006/relationships/hyperlink" Target="https://youtu.be/0ab7nqiemIE" TargetMode="External"/><Relationship Id="rId650" Type="http://schemas.openxmlformats.org/officeDocument/2006/relationships/hyperlink" Target="https://youtu.be/3RW9zEiG6W4" TargetMode="External"/><Relationship Id="rId303" Type="http://schemas.openxmlformats.org/officeDocument/2006/relationships/hyperlink" Target="https://youtu.be/JG1WXTuM_TA" TargetMode="External"/><Relationship Id="rId748" Type="http://schemas.openxmlformats.org/officeDocument/2006/relationships/hyperlink" Target="https://youtu.be/Ip0RxrJylNc" TargetMode="External"/><Relationship Id="rId84" Type="http://schemas.openxmlformats.org/officeDocument/2006/relationships/hyperlink" Target="https://youtu.be/pSbMKd3Yv0k" TargetMode="External"/><Relationship Id="rId387" Type="http://schemas.openxmlformats.org/officeDocument/2006/relationships/hyperlink" Target="https://youtu.be/SpSQxZdL904" TargetMode="External"/><Relationship Id="rId510" Type="http://schemas.openxmlformats.org/officeDocument/2006/relationships/hyperlink" Target="https://youtu.be/BTP-zKMJNe4" TargetMode="External"/><Relationship Id="rId594" Type="http://schemas.openxmlformats.org/officeDocument/2006/relationships/hyperlink" Target="https://youtu.be/Z0lJflPh43w" TargetMode="External"/><Relationship Id="rId608" Type="http://schemas.openxmlformats.org/officeDocument/2006/relationships/hyperlink" Target="https://youtu.be/XzaCGqqSaY8" TargetMode="External"/><Relationship Id="rId815" Type="http://schemas.openxmlformats.org/officeDocument/2006/relationships/hyperlink" Target="https://youtu.be/QzXHzAP2gDc" TargetMode="External"/><Relationship Id="rId247" Type="http://schemas.openxmlformats.org/officeDocument/2006/relationships/hyperlink" Target="https://youtu.be/d2FRbu_UnP0" TargetMode="External"/><Relationship Id="rId107" Type="http://schemas.openxmlformats.org/officeDocument/2006/relationships/hyperlink" Target="https://youtu.be/undJHG0luf8" TargetMode="External"/><Relationship Id="rId454" Type="http://schemas.openxmlformats.org/officeDocument/2006/relationships/hyperlink" Target="https://youtu.be/Va3pPvY7I9I" TargetMode="External"/><Relationship Id="rId661" Type="http://schemas.openxmlformats.org/officeDocument/2006/relationships/hyperlink" Target="https://youtu.be/HLgWwXI5fWo" TargetMode="External"/><Relationship Id="rId759" Type="http://schemas.openxmlformats.org/officeDocument/2006/relationships/hyperlink" Target="https://youtu.be/pj_Cq4APxgc" TargetMode="External"/><Relationship Id="rId11" Type="http://schemas.openxmlformats.org/officeDocument/2006/relationships/hyperlink" Target="https://youtu.be/8ozOKLt9jns" TargetMode="External"/><Relationship Id="rId314" Type="http://schemas.openxmlformats.org/officeDocument/2006/relationships/hyperlink" Target="https://youtu.be/XKZQotDgj64" TargetMode="External"/><Relationship Id="rId398" Type="http://schemas.openxmlformats.org/officeDocument/2006/relationships/hyperlink" Target="https://youtu.be/6v3G1J7N7m8" TargetMode="External"/><Relationship Id="rId521" Type="http://schemas.openxmlformats.org/officeDocument/2006/relationships/hyperlink" Target="https://youtu.be/dn0JImC9e_g" TargetMode="External"/><Relationship Id="rId619" Type="http://schemas.openxmlformats.org/officeDocument/2006/relationships/hyperlink" Target="https://youtu.be/2fehN10SvDU" TargetMode="External"/><Relationship Id="rId95" Type="http://schemas.openxmlformats.org/officeDocument/2006/relationships/hyperlink" Target="https://youtu.be/7j5YxgX-wxE" TargetMode="External"/><Relationship Id="rId160" Type="http://schemas.openxmlformats.org/officeDocument/2006/relationships/hyperlink" Target="https://youtu.be/KCQ55v14GHw" TargetMode="External"/><Relationship Id="rId826" Type="http://schemas.openxmlformats.org/officeDocument/2006/relationships/hyperlink" Target="https://youtu.be/vdEzQms2Liw" TargetMode="External"/><Relationship Id="rId258" Type="http://schemas.openxmlformats.org/officeDocument/2006/relationships/hyperlink" Target="https://youtu.be/_7RDYV3Z1Q0" TargetMode="External"/><Relationship Id="rId465" Type="http://schemas.openxmlformats.org/officeDocument/2006/relationships/hyperlink" Target="https://youtu.be/vO8NDVV7BaY" TargetMode="External"/><Relationship Id="rId672" Type="http://schemas.openxmlformats.org/officeDocument/2006/relationships/hyperlink" Target="https://youtu.be/faNIO2I5juk" TargetMode="External"/><Relationship Id="rId22" Type="http://schemas.openxmlformats.org/officeDocument/2006/relationships/hyperlink" Target="https://youtu.be/bgqItnu9aF8" TargetMode="External"/><Relationship Id="rId118" Type="http://schemas.openxmlformats.org/officeDocument/2006/relationships/hyperlink" Target="https://youtu.be/aHeuWRRkDI8" TargetMode="External"/><Relationship Id="rId325" Type="http://schemas.openxmlformats.org/officeDocument/2006/relationships/hyperlink" Target="https://youtu.be/knhR38J1kOc" TargetMode="External"/><Relationship Id="rId532" Type="http://schemas.openxmlformats.org/officeDocument/2006/relationships/hyperlink" Target="https://youtu.be/KRxyU42_uKQ" TargetMode="External"/><Relationship Id="rId171" Type="http://schemas.openxmlformats.org/officeDocument/2006/relationships/hyperlink" Target="https://youtu.be/c7SmSeYGHiQ" TargetMode="External"/><Relationship Id="rId837" Type="http://schemas.openxmlformats.org/officeDocument/2006/relationships/hyperlink" Target="https://youtu.be/RAGtFeiu5AA" TargetMode="External"/><Relationship Id="rId269" Type="http://schemas.openxmlformats.org/officeDocument/2006/relationships/hyperlink" Target="https://youtu.be/0FU41_ccnd0" TargetMode="External"/><Relationship Id="rId476" Type="http://schemas.openxmlformats.org/officeDocument/2006/relationships/hyperlink" Target="https://youtu.be/B9Bith2oj34" TargetMode="External"/><Relationship Id="rId683" Type="http://schemas.openxmlformats.org/officeDocument/2006/relationships/hyperlink" Target="https://youtu.be/duYf995j98I" TargetMode="External"/><Relationship Id="rId33" Type="http://schemas.openxmlformats.org/officeDocument/2006/relationships/hyperlink" Target="https://youtu.be/aJDl_Tn_K1w" TargetMode="External"/><Relationship Id="rId129" Type="http://schemas.openxmlformats.org/officeDocument/2006/relationships/hyperlink" Target="https://youtu.be/iHaoJIsw60w" TargetMode="External"/><Relationship Id="rId336" Type="http://schemas.openxmlformats.org/officeDocument/2006/relationships/hyperlink" Target="https://youtu.be/vZ3jjdhLIRA" TargetMode="External"/><Relationship Id="rId543" Type="http://schemas.openxmlformats.org/officeDocument/2006/relationships/hyperlink" Target="https://youtu.be/opUF3DG6TQ8" TargetMode="External"/><Relationship Id="rId182" Type="http://schemas.openxmlformats.org/officeDocument/2006/relationships/hyperlink" Target="https://youtu.be/8-6M1HsL0Tg" TargetMode="External"/><Relationship Id="rId403" Type="http://schemas.openxmlformats.org/officeDocument/2006/relationships/hyperlink" Target="https://youtu.be/cMrgsOU4oL0" TargetMode="External"/><Relationship Id="rId750" Type="http://schemas.openxmlformats.org/officeDocument/2006/relationships/hyperlink" Target="https://youtu.be/ETZsyuocnFA" TargetMode="External"/><Relationship Id="rId848" Type="http://schemas.openxmlformats.org/officeDocument/2006/relationships/comments" Target="../comments5.xml"/><Relationship Id="rId487" Type="http://schemas.openxmlformats.org/officeDocument/2006/relationships/hyperlink" Target="https://youtu.be/gtM9vKYjIps" TargetMode="External"/><Relationship Id="rId610" Type="http://schemas.openxmlformats.org/officeDocument/2006/relationships/hyperlink" Target="https://youtu.be/9T9xRmp2Hes" TargetMode="External"/><Relationship Id="rId694" Type="http://schemas.openxmlformats.org/officeDocument/2006/relationships/hyperlink" Target="https://youtu.be/8jz97xi3o-c" TargetMode="External"/><Relationship Id="rId708" Type="http://schemas.openxmlformats.org/officeDocument/2006/relationships/hyperlink" Target="https://youtu.be/xFtSuUb3SxE" TargetMode="External"/><Relationship Id="rId347" Type="http://schemas.openxmlformats.org/officeDocument/2006/relationships/hyperlink" Target="https://youtu.be/SZZnYoplAQQ" TargetMode="External"/><Relationship Id="rId44" Type="http://schemas.openxmlformats.org/officeDocument/2006/relationships/hyperlink" Target="https://youtu.be/nk4K7ZGSz9I" TargetMode="External"/><Relationship Id="rId554" Type="http://schemas.openxmlformats.org/officeDocument/2006/relationships/hyperlink" Target="https://youtu.be/MQp1PyQS3FQ" TargetMode="External"/><Relationship Id="rId761" Type="http://schemas.openxmlformats.org/officeDocument/2006/relationships/hyperlink" Target="https://youtu.be/EfxVbyDC4p4" TargetMode="External"/><Relationship Id="rId193" Type="http://schemas.openxmlformats.org/officeDocument/2006/relationships/hyperlink" Target="https://youtu.be/0TDOmr6ggzM" TargetMode="External"/><Relationship Id="rId207" Type="http://schemas.openxmlformats.org/officeDocument/2006/relationships/hyperlink" Target="https://youtu.be/7lNMHKU4PdI" TargetMode="External"/><Relationship Id="rId414" Type="http://schemas.openxmlformats.org/officeDocument/2006/relationships/hyperlink" Target="https://youtu.be/VkmD1KdrsiQ" TargetMode="External"/><Relationship Id="rId498" Type="http://schemas.openxmlformats.org/officeDocument/2006/relationships/hyperlink" Target="https://youtu.be/KNqwQKCbhjk" TargetMode="External"/><Relationship Id="rId621" Type="http://schemas.openxmlformats.org/officeDocument/2006/relationships/hyperlink" Target="https://youtu.be/1ENoU-_61DA" TargetMode="External"/><Relationship Id="rId260" Type="http://schemas.openxmlformats.org/officeDocument/2006/relationships/hyperlink" Target="https://youtu.be/bMgqnD0M0yE" TargetMode="External"/><Relationship Id="rId719" Type="http://schemas.openxmlformats.org/officeDocument/2006/relationships/hyperlink" Target="https://youtu.be/3mlrhhvTbw8" TargetMode="External"/><Relationship Id="rId55" Type="http://schemas.openxmlformats.org/officeDocument/2006/relationships/hyperlink" Target="https://youtu.be/gcaL43wVftc" TargetMode="External"/><Relationship Id="rId120" Type="http://schemas.openxmlformats.org/officeDocument/2006/relationships/hyperlink" Target="https://youtu.be/GlyuRNCy37A" TargetMode="External"/><Relationship Id="rId358" Type="http://schemas.openxmlformats.org/officeDocument/2006/relationships/hyperlink" Target="https://youtu.be/nEHJigkMuyU" TargetMode="External"/><Relationship Id="rId565" Type="http://schemas.openxmlformats.org/officeDocument/2006/relationships/hyperlink" Target="https://youtu.be/-dwoqBp1W1c" TargetMode="External"/><Relationship Id="rId772" Type="http://schemas.openxmlformats.org/officeDocument/2006/relationships/hyperlink" Target="https://youtu.be/coGzgwECh4I" TargetMode="External"/><Relationship Id="rId218" Type="http://schemas.openxmlformats.org/officeDocument/2006/relationships/hyperlink" Target="https://youtu.be/CEoGnv7J500" TargetMode="External"/><Relationship Id="rId425" Type="http://schemas.openxmlformats.org/officeDocument/2006/relationships/hyperlink" Target="https://www.youtube.com/watch?v=2Fu5iSI8LTk&amp;t=18s" TargetMode="External"/><Relationship Id="rId632" Type="http://schemas.openxmlformats.org/officeDocument/2006/relationships/hyperlink" Target="https://youtu.be/P1aloVquJgs" TargetMode="External"/><Relationship Id="rId271" Type="http://schemas.openxmlformats.org/officeDocument/2006/relationships/hyperlink" Target="https://www.youtube.com/watch?v=cNpTwye78Vk" TargetMode="External"/><Relationship Id="rId66" Type="http://schemas.openxmlformats.org/officeDocument/2006/relationships/hyperlink" Target="https://youtu.be/tejNGd5477g" TargetMode="External"/><Relationship Id="rId131" Type="http://schemas.openxmlformats.org/officeDocument/2006/relationships/hyperlink" Target="https://youtu.be/BDK3a3NVpNY" TargetMode="External"/><Relationship Id="rId369" Type="http://schemas.openxmlformats.org/officeDocument/2006/relationships/hyperlink" Target="https://youtu.be/XxHS3jneAOc" TargetMode="External"/><Relationship Id="rId576" Type="http://schemas.openxmlformats.org/officeDocument/2006/relationships/hyperlink" Target="https://youtu.be/qC741rq4xyY" TargetMode="External"/><Relationship Id="rId783" Type="http://schemas.openxmlformats.org/officeDocument/2006/relationships/hyperlink" Target="https://youtu.be/XIme7MFtbT8"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youtu.be/Y9QwlY_GL_M" TargetMode="External"/><Relationship Id="rId18" Type="http://schemas.openxmlformats.org/officeDocument/2006/relationships/hyperlink" Target="https://youtu.be/yteOg2jkoV0" TargetMode="External"/><Relationship Id="rId26" Type="http://schemas.openxmlformats.org/officeDocument/2006/relationships/hyperlink" Target="https://youtu.be/17dEbecypfE" TargetMode="External"/><Relationship Id="rId39" Type="http://schemas.microsoft.com/office/2017/10/relationships/threadedComment" Target="../threadedComments/threadedComment6.xml"/><Relationship Id="rId21" Type="http://schemas.openxmlformats.org/officeDocument/2006/relationships/hyperlink" Target="https://youtu.be/CavGI3hojDs" TargetMode="External"/><Relationship Id="rId34" Type="http://schemas.openxmlformats.org/officeDocument/2006/relationships/hyperlink" Target="https://drive.google.com/drive/folders/1cAx_qnIoc6xWT_rAyNW7-Z_CqIogcx0X?usp=drive_link" TargetMode="External"/><Relationship Id="rId7" Type="http://schemas.openxmlformats.org/officeDocument/2006/relationships/hyperlink" Target="https://drive.google.com/drive/folders/1cAx_qnIoc6xWT_rAyNW7-Z_CqIogcx0X?usp=drive_link" TargetMode="External"/><Relationship Id="rId12" Type="http://schemas.openxmlformats.org/officeDocument/2006/relationships/hyperlink" Target="https://youtu.be/AASk-CP-J88" TargetMode="External"/><Relationship Id="rId17" Type="http://schemas.openxmlformats.org/officeDocument/2006/relationships/hyperlink" Target="https://youtu.be/7e7RgvT5zUw" TargetMode="External"/><Relationship Id="rId25" Type="http://schemas.openxmlformats.org/officeDocument/2006/relationships/hyperlink" Target="https://youtu.be/HLgWwXI5fWo" TargetMode="External"/><Relationship Id="rId33" Type="http://schemas.openxmlformats.org/officeDocument/2006/relationships/hyperlink" Target="https://drive.google.com/drive/folders/1cAx_qnIoc6xWT_rAyNW7-Z_CqIogcx0X?usp=drive_link" TargetMode="External"/><Relationship Id="rId38" Type="http://schemas.openxmlformats.org/officeDocument/2006/relationships/comments" Target="../comments6.xml"/><Relationship Id="rId2" Type="http://schemas.openxmlformats.org/officeDocument/2006/relationships/hyperlink" Target="https://drive.google.com/drive/folders/1cAx_qnIoc6xWT_rAyNW7-Z_CqIogcx0X?usp=drive_link" TargetMode="External"/><Relationship Id="rId16" Type="http://schemas.openxmlformats.org/officeDocument/2006/relationships/hyperlink" Target="https://youtu.be/Rgf9-jjrhDU" TargetMode="External"/><Relationship Id="rId20" Type="http://schemas.openxmlformats.org/officeDocument/2006/relationships/hyperlink" Target="https://youtu.be/7gJktl2k97s" TargetMode="External"/><Relationship Id="rId29" Type="http://schemas.openxmlformats.org/officeDocument/2006/relationships/hyperlink" Target="https://youtu.be/GtFf8ZZYVE4" TargetMode="External"/><Relationship Id="rId1" Type="http://schemas.openxmlformats.org/officeDocument/2006/relationships/hyperlink" Target="javascript:__doPostBack('ctl00$ctl00$ContentPlaceHolder1$ContentPlaceHolder1$grdListarPendenteEditado$ctl02$lnkMediaId','')" TargetMode="External"/><Relationship Id="rId6" Type="http://schemas.openxmlformats.org/officeDocument/2006/relationships/hyperlink" Target="https://youtu.be/01Hb_UV-yDA" TargetMode="External"/><Relationship Id="rId11" Type="http://schemas.openxmlformats.org/officeDocument/2006/relationships/hyperlink" Target="https://youtu.be/4Z5JhJylsic" TargetMode="External"/><Relationship Id="rId24" Type="http://schemas.openxmlformats.org/officeDocument/2006/relationships/hyperlink" Target="https://youtu.be/fIlciM63TLE" TargetMode="External"/><Relationship Id="rId32" Type="http://schemas.openxmlformats.org/officeDocument/2006/relationships/hyperlink" Target="https://drive.google.com/drive/folders/1cAx_qnIoc6xWT_rAyNW7-Z_CqIogcx0X?usp=drive_link" TargetMode="External"/><Relationship Id="rId37" Type="http://schemas.openxmlformats.org/officeDocument/2006/relationships/vmlDrawing" Target="../drawings/vmlDrawing6.vml"/><Relationship Id="rId40" Type="http://schemas.microsoft.com/office/2019/04/relationships/documenttask" Target="../documenttasks/documenttask5.xml"/><Relationship Id="rId5" Type="http://schemas.openxmlformats.org/officeDocument/2006/relationships/hyperlink" Target="https://youtu.be/0aPzdqLQezg" TargetMode="External"/><Relationship Id="rId15" Type="http://schemas.openxmlformats.org/officeDocument/2006/relationships/hyperlink" Target="https://youtu.be/RcJoHOw7fbM" TargetMode="External"/><Relationship Id="rId23" Type="http://schemas.openxmlformats.org/officeDocument/2006/relationships/hyperlink" Target="https://youtu.be/3RW9zEiG6W4" TargetMode="External"/><Relationship Id="rId28" Type="http://schemas.openxmlformats.org/officeDocument/2006/relationships/hyperlink" Target="https://youtu.be/S5B31VYLlLA" TargetMode="External"/><Relationship Id="rId36" Type="http://schemas.openxmlformats.org/officeDocument/2006/relationships/hyperlink" Target="https://youtu.be/Ntq26PHJ-MM" TargetMode="External"/><Relationship Id="rId10" Type="http://schemas.openxmlformats.org/officeDocument/2006/relationships/hyperlink" Target="https://youtu.be/L-rQmj3xMkI" TargetMode="External"/><Relationship Id="rId19" Type="http://schemas.openxmlformats.org/officeDocument/2006/relationships/hyperlink" Target="https://youtu.be/Y8Nogbn5ksw" TargetMode="External"/><Relationship Id="rId31" Type="http://schemas.openxmlformats.org/officeDocument/2006/relationships/hyperlink" Target="https://youtu.be/YFjqnRr00GA" TargetMode="External"/><Relationship Id="rId4" Type="http://schemas.openxmlformats.org/officeDocument/2006/relationships/hyperlink" Target="https://youtu.be/GGKLbcpO_DY" TargetMode="External"/><Relationship Id="rId9" Type="http://schemas.openxmlformats.org/officeDocument/2006/relationships/hyperlink" Target="https://drive.google.com/drive/folders/1cAx_qnIoc6xWT_rAyNW7-Z_CqIogcx0X?usp=drive_link" TargetMode="External"/><Relationship Id="rId14" Type="http://schemas.openxmlformats.org/officeDocument/2006/relationships/hyperlink" Target="https://youtu.be/McVt05VV8lo" TargetMode="External"/><Relationship Id="rId22" Type="http://schemas.openxmlformats.org/officeDocument/2006/relationships/hyperlink" Target="https://youtu.be/CM-U0bX-0kQ" TargetMode="External"/><Relationship Id="rId27" Type="http://schemas.openxmlformats.org/officeDocument/2006/relationships/hyperlink" Target="https://youtu.be/CvSbIY4f0GU" TargetMode="External"/><Relationship Id="rId30" Type="http://schemas.openxmlformats.org/officeDocument/2006/relationships/hyperlink" Target="https://youtu.be/-f27KPLQeHs" TargetMode="External"/><Relationship Id="rId35" Type="http://schemas.openxmlformats.org/officeDocument/2006/relationships/hyperlink" Target="https://drive.google.com/drive/folders/1cAx_qnIoc6xWT_rAyNW7-Z_CqIogcx0X?usp=drive_link" TargetMode="External"/><Relationship Id="rId8" Type="http://schemas.openxmlformats.org/officeDocument/2006/relationships/hyperlink" Target="https://drive.google.com/drive/folders/1cAx_qnIoc6xWT_rAyNW7-Z_CqIogcx0X?usp=drive_link" TargetMode="External"/><Relationship Id="rId3" Type="http://schemas.openxmlformats.org/officeDocument/2006/relationships/hyperlink" Target="https://drive.google.com/drive/folders/1cAx_qnIoc6xWT_rAyNW7-Z_CqIogcx0X?usp=drive_link"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youtu.be/_G4Bd76P7Dc" TargetMode="External"/><Relationship Id="rId13" Type="http://schemas.openxmlformats.org/officeDocument/2006/relationships/hyperlink" Target="https://youtu.be/GIlup20xHLE" TargetMode="External"/><Relationship Id="rId18" Type="http://schemas.openxmlformats.org/officeDocument/2006/relationships/hyperlink" Target="https://youtu.be/8cHORvaq_gc" TargetMode="External"/><Relationship Id="rId26" Type="http://schemas.openxmlformats.org/officeDocument/2006/relationships/hyperlink" Target="https://youtu.be/oiRnMawHJ0E" TargetMode="External"/><Relationship Id="rId3" Type="http://schemas.openxmlformats.org/officeDocument/2006/relationships/hyperlink" Target="https://youtu.be/ffY5z1oLpT4" TargetMode="External"/><Relationship Id="rId21" Type="http://schemas.openxmlformats.org/officeDocument/2006/relationships/hyperlink" Target="https://youtu.be/7JB3RfnzCyc" TargetMode="External"/><Relationship Id="rId7" Type="http://schemas.openxmlformats.org/officeDocument/2006/relationships/hyperlink" Target="https://youtu.be/RhX9z4-pN1E" TargetMode="External"/><Relationship Id="rId12" Type="http://schemas.openxmlformats.org/officeDocument/2006/relationships/hyperlink" Target="https://youtu.be/HGK3z-3eVPo" TargetMode="External"/><Relationship Id="rId17" Type="http://schemas.openxmlformats.org/officeDocument/2006/relationships/hyperlink" Target="https://youtu.be/TGEh8rWRYJc" TargetMode="External"/><Relationship Id="rId25" Type="http://schemas.openxmlformats.org/officeDocument/2006/relationships/hyperlink" Target="https://youtu.be/5q2ce-ZeQ20" TargetMode="External"/><Relationship Id="rId2" Type="http://schemas.openxmlformats.org/officeDocument/2006/relationships/hyperlink" Target="https://youtu.be/_cDShEjoT60" TargetMode="External"/><Relationship Id="rId16" Type="http://schemas.openxmlformats.org/officeDocument/2006/relationships/hyperlink" Target="https://youtu.be/KiEM9XylOaA" TargetMode="External"/><Relationship Id="rId20" Type="http://schemas.openxmlformats.org/officeDocument/2006/relationships/hyperlink" Target="https://youtu.be/zT-5XLZ_sVM" TargetMode="External"/><Relationship Id="rId29" Type="http://schemas.openxmlformats.org/officeDocument/2006/relationships/hyperlink" Target="https://youtu.be/bpiiZXI5XL4" TargetMode="External"/><Relationship Id="rId1" Type="http://schemas.openxmlformats.org/officeDocument/2006/relationships/hyperlink" Target="https://youtu.be/z6q46aImd2E" TargetMode="External"/><Relationship Id="rId6" Type="http://schemas.openxmlformats.org/officeDocument/2006/relationships/hyperlink" Target="https://youtu.be/IBXjbB0yzrA" TargetMode="External"/><Relationship Id="rId11" Type="http://schemas.openxmlformats.org/officeDocument/2006/relationships/hyperlink" Target="https://youtu.be/T3PoVJPss3Y" TargetMode="External"/><Relationship Id="rId24" Type="http://schemas.openxmlformats.org/officeDocument/2006/relationships/hyperlink" Target="https://youtu.be/C9BPDORt8Ak" TargetMode="External"/><Relationship Id="rId5" Type="http://schemas.openxmlformats.org/officeDocument/2006/relationships/hyperlink" Target="https://youtu.be/5A3gzT_PnfY" TargetMode="External"/><Relationship Id="rId15" Type="http://schemas.openxmlformats.org/officeDocument/2006/relationships/hyperlink" Target="https://youtu.be/DfuQpwWk6iE" TargetMode="External"/><Relationship Id="rId23" Type="http://schemas.openxmlformats.org/officeDocument/2006/relationships/hyperlink" Target="https://youtu.be/voUk2-gz2PY" TargetMode="External"/><Relationship Id="rId28" Type="http://schemas.openxmlformats.org/officeDocument/2006/relationships/hyperlink" Target="https://youtu.be/2djy8_ea7hE" TargetMode="External"/><Relationship Id="rId10" Type="http://schemas.openxmlformats.org/officeDocument/2006/relationships/hyperlink" Target="https://youtu.be/2fB5eRH3W0o" TargetMode="External"/><Relationship Id="rId19" Type="http://schemas.openxmlformats.org/officeDocument/2006/relationships/hyperlink" Target="https://youtu.be/Mi7WoGG1X6M" TargetMode="External"/><Relationship Id="rId4" Type="http://schemas.openxmlformats.org/officeDocument/2006/relationships/hyperlink" Target="https://youtu.be/6Dl5-dXFDXk" TargetMode="External"/><Relationship Id="rId9" Type="http://schemas.openxmlformats.org/officeDocument/2006/relationships/hyperlink" Target="https://youtu.be/iaJGjWHId8o" TargetMode="External"/><Relationship Id="rId14" Type="http://schemas.openxmlformats.org/officeDocument/2006/relationships/hyperlink" Target="https://youtu.be/YPA623GUF48" TargetMode="External"/><Relationship Id="rId22" Type="http://schemas.openxmlformats.org/officeDocument/2006/relationships/hyperlink" Target="https://youtu.be/D1f25vUkUDM" TargetMode="External"/><Relationship Id="rId27" Type="http://schemas.openxmlformats.org/officeDocument/2006/relationships/hyperlink" Target="https://youtu.be/HtxYcDc7XSE" TargetMode="External"/><Relationship Id="rId30" Type="http://schemas.openxmlformats.org/officeDocument/2006/relationships/hyperlink" Target="https://youtu.be/TGEh8rWRYJc"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youtu.be/d9yq1KVc1vE" TargetMode="External"/><Relationship Id="rId13" Type="http://schemas.openxmlformats.org/officeDocument/2006/relationships/hyperlink" Target="https://youtu.be/5QfqzH9OAec" TargetMode="External"/><Relationship Id="rId3" Type="http://schemas.openxmlformats.org/officeDocument/2006/relationships/hyperlink" Target="https://youtu.be/PDvOG5yg9UQ" TargetMode="External"/><Relationship Id="rId7" Type="http://schemas.openxmlformats.org/officeDocument/2006/relationships/hyperlink" Target="https://youtu.be/Fzc2aGIAGFs" TargetMode="External"/><Relationship Id="rId12" Type="http://schemas.openxmlformats.org/officeDocument/2006/relationships/hyperlink" Target="https://youtu.be/LZ3LVdaBDFg" TargetMode="External"/><Relationship Id="rId2" Type="http://schemas.openxmlformats.org/officeDocument/2006/relationships/hyperlink" Target="https://youtu.be/7910pqXDncA" TargetMode="External"/><Relationship Id="rId1" Type="http://schemas.openxmlformats.org/officeDocument/2006/relationships/hyperlink" Target="https://youtu.be/7VFatHn2_6M" TargetMode="External"/><Relationship Id="rId6" Type="http://schemas.openxmlformats.org/officeDocument/2006/relationships/hyperlink" Target="https://youtu.be/oLKdX7vxhMo" TargetMode="External"/><Relationship Id="rId11" Type="http://schemas.openxmlformats.org/officeDocument/2006/relationships/hyperlink" Target="https://youtu.be/huNyTWmg78o" TargetMode="External"/><Relationship Id="rId5" Type="http://schemas.openxmlformats.org/officeDocument/2006/relationships/hyperlink" Target="https://youtu.be/DD57NZJVyX4" TargetMode="External"/><Relationship Id="rId10" Type="http://schemas.openxmlformats.org/officeDocument/2006/relationships/hyperlink" Target="https://youtu.be/b2mRlLOrGLY" TargetMode="External"/><Relationship Id="rId4" Type="http://schemas.openxmlformats.org/officeDocument/2006/relationships/hyperlink" Target="https://youtu.be/sm99pV6zXOY" TargetMode="External"/><Relationship Id="rId9" Type="http://schemas.openxmlformats.org/officeDocument/2006/relationships/hyperlink" Target="https://youtu.be/W2Mdy_oox1o"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youtu.be/KFQJhX_WKlU" TargetMode="External"/><Relationship Id="rId21" Type="http://schemas.openxmlformats.org/officeDocument/2006/relationships/hyperlink" Target="https://youtu.be/J3dk4pYSTrg" TargetMode="External"/><Relationship Id="rId34" Type="http://schemas.openxmlformats.org/officeDocument/2006/relationships/hyperlink" Target="https://youtu.be/M3yO2lbOux0" TargetMode="External"/><Relationship Id="rId42" Type="http://schemas.openxmlformats.org/officeDocument/2006/relationships/hyperlink" Target="https://youtu.be/T9ccWdju7AQ" TargetMode="External"/><Relationship Id="rId47" Type="http://schemas.openxmlformats.org/officeDocument/2006/relationships/hyperlink" Target="https://youtu.be/Cgvj-ujsuiw" TargetMode="External"/><Relationship Id="rId50" Type="http://schemas.openxmlformats.org/officeDocument/2006/relationships/hyperlink" Target="https://youtu.be/sp0wbwJ2R-U" TargetMode="External"/><Relationship Id="rId55" Type="http://schemas.openxmlformats.org/officeDocument/2006/relationships/hyperlink" Target="https://youtu.be/vNYjwP86Q78" TargetMode="External"/><Relationship Id="rId63" Type="http://schemas.openxmlformats.org/officeDocument/2006/relationships/hyperlink" Target="https://youtu.be/a2rkyo9zLCk" TargetMode="External"/><Relationship Id="rId68" Type="http://schemas.microsoft.com/office/2017/10/relationships/threadedComment" Target="../threadedComments/threadedComment7.xml"/><Relationship Id="rId7" Type="http://schemas.openxmlformats.org/officeDocument/2006/relationships/hyperlink" Target="https://youtu.be/TWzBDvUeXxY" TargetMode="External"/><Relationship Id="rId2" Type="http://schemas.openxmlformats.org/officeDocument/2006/relationships/hyperlink" Target="https://drive.google.com/drive/folders/18I94uHXbwn23mAyG4nxfheSuFupN7LnD?usp=drive_link" TargetMode="External"/><Relationship Id="rId16" Type="http://schemas.openxmlformats.org/officeDocument/2006/relationships/hyperlink" Target="https://youtu.be/vFB80FG0caE" TargetMode="External"/><Relationship Id="rId29" Type="http://schemas.openxmlformats.org/officeDocument/2006/relationships/hyperlink" Target="https://youtu.be/9s5wlJSMQlA" TargetMode="External"/><Relationship Id="rId11" Type="http://schemas.openxmlformats.org/officeDocument/2006/relationships/hyperlink" Target="https://youtu.be/vxd1fGoj5eU" TargetMode="External"/><Relationship Id="rId24" Type="http://schemas.openxmlformats.org/officeDocument/2006/relationships/hyperlink" Target="https://youtu.be/jax5JEzmzvA" TargetMode="External"/><Relationship Id="rId32" Type="http://schemas.openxmlformats.org/officeDocument/2006/relationships/hyperlink" Target="https://youtu.be/kIQcdywRh5U" TargetMode="External"/><Relationship Id="rId37" Type="http://schemas.openxmlformats.org/officeDocument/2006/relationships/hyperlink" Target="https://youtu.be/BcQO8uChjcY" TargetMode="External"/><Relationship Id="rId40" Type="http://schemas.openxmlformats.org/officeDocument/2006/relationships/hyperlink" Target="https://youtu.be/UI_zMgoLByc" TargetMode="External"/><Relationship Id="rId45" Type="http://schemas.openxmlformats.org/officeDocument/2006/relationships/hyperlink" Target="https://youtu.be/okfKyMM8vm0" TargetMode="External"/><Relationship Id="rId53" Type="http://schemas.openxmlformats.org/officeDocument/2006/relationships/hyperlink" Target="https://youtu.be/qunN5PqZblI" TargetMode="External"/><Relationship Id="rId58" Type="http://schemas.openxmlformats.org/officeDocument/2006/relationships/hyperlink" Target="https://youtu.be/NztEvFXsjF4" TargetMode="External"/><Relationship Id="rId66" Type="http://schemas.openxmlformats.org/officeDocument/2006/relationships/vmlDrawing" Target="../drawings/vmlDrawing7.vml"/><Relationship Id="rId5" Type="http://schemas.openxmlformats.org/officeDocument/2006/relationships/hyperlink" Target="https://youtu.be/1CU4Rd9_2lI" TargetMode="External"/><Relationship Id="rId61" Type="http://schemas.openxmlformats.org/officeDocument/2006/relationships/hyperlink" Target="https://youtu.be/PzT8jxsEtwk" TargetMode="External"/><Relationship Id="rId19" Type="http://schemas.openxmlformats.org/officeDocument/2006/relationships/hyperlink" Target="https://youtu.be/E6rMzM-l25E" TargetMode="External"/><Relationship Id="rId14" Type="http://schemas.openxmlformats.org/officeDocument/2006/relationships/hyperlink" Target="https://youtu.be/zK9Mdu5Yfs4" TargetMode="External"/><Relationship Id="rId22" Type="http://schemas.openxmlformats.org/officeDocument/2006/relationships/hyperlink" Target="https://youtu.be/s0BK3eTMQhA" TargetMode="External"/><Relationship Id="rId27" Type="http://schemas.openxmlformats.org/officeDocument/2006/relationships/hyperlink" Target="https://youtu.be/js9sH9fSRac" TargetMode="External"/><Relationship Id="rId30" Type="http://schemas.openxmlformats.org/officeDocument/2006/relationships/hyperlink" Target="https://youtu.be/6R-cnO1WTs8" TargetMode="External"/><Relationship Id="rId35" Type="http://schemas.openxmlformats.org/officeDocument/2006/relationships/hyperlink" Target="https://youtu.be/YHjL_xmN7go" TargetMode="External"/><Relationship Id="rId43" Type="http://schemas.openxmlformats.org/officeDocument/2006/relationships/hyperlink" Target="https://youtu.be/imFYu-lUMXY" TargetMode="External"/><Relationship Id="rId48" Type="http://schemas.openxmlformats.org/officeDocument/2006/relationships/hyperlink" Target="https://youtu.be/mnMio2DM_V8" TargetMode="External"/><Relationship Id="rId56" Type="http://schemas.openxmlformats.org/officeDocument/2006/relationships/hyperlink" Target="https://youtu.be/3jfh7nyl3cc" TargetMode="External"/><Relationship Id="rId64" Type="http://schemas.openxmlformats.org/officeDocument/2006/relationships/hyperlink" Target="https://youtu.be/L5VsUNLeZgw" TargetMode="External"/><Relationship Id="rId8" Type="http://schemas.openxmlformats.org/officeDocument/2006/relationships/hyperlink" Target="https://youtu.be/O4HhvFeTIes" TargetMode="External"/><Relationship Id="rId51" Type="http://schemas.openxmlformats.org/officeDocument/2006/relationships/hyperlink" Target="https://youtu.be/nPzZ-4E6uBk" TargetMode="External"/><Relationship Id="rId3" Type="http://schemas.openxmlformats.org/officeDocument/2006/relationships/hyperlink" Target="https://drive.google.com/drive/folders/18I94uHXbwn23mAyG4nxfheSuFupN7LnD?usp=drive_link" TargetMode="External"/><Relationship Id="rId12" Type="http://schemas.openxmlformats.org/officeDocument/2006/relationships/hyperlink" Target="https://youtu.be/5vK8_kUacn8" TargetMode="External"/><Relationship Id="rId17" Type="http://schemas.openxmlformats.org/officeDocument/2006/relationships/hyperlink" Target="https://youtu.be/iCC2qKgBcZ0" TargetMode="External"/><Relationship Id="rId25" Type="http://schemas.openxmlformats.org/officeDocument/2006/relationships/hyperlink" Target="https://youtu.be/nc7iCPDr1OE" TargetMode="External"/><Relationship Id="rId33" Type="http://schemas.openxmlformats.org/officeDocument/2006/relationships/hyperlink" Target="https://youtu.be/H5nTzwjSLkE" TargetMode="External"/><Relationship Id="rId38" Type="http://schemas.openxmlformats.org/officeDocument/2006/relationships/hyperlink" Target="https://youtu.be/0XELkbdzp3k" TargetMode="External"/><Relationship Id="rId46" Type="http://schemas.openxmlformats.org/officeDocument/2006/relationships/hyperlink" Target="https://youtu.be/u3sntETrLQw" TargetMode="External"/><Relationship Id="rId59" Type="http://schemas.openxmlformats.org/officeDocument/2006/relationships/hyperlink" Target="https://youtu.be/Hq4e6t6fhHw" TargetMode="External"/><Relationship Id="rId67" Type="http://schemas.openxmlformats.org/officeDocument/2006/relationships/comments" Target="../comments7.xml"/><Relationship Id="rId20" Type="http://schemas.openxmlformats.org/officeDocument/2006/relationships/hyperlink" Target="https://youtu.be/-M_vNKTvfo0" TargetMode="External"/><Relationship Id="rId41" Type="http://schemas.openxmlformats.org/officeDocument/2006/relationships/hyperlink" Target="https://youtu.be/BTyL_GXwaV4" TargetMode="External"/><Relationship Id="rId54" Type="http://schemas.openxmlformats.org/officeDocument/2006/relationships/hyperlink" Target="https://youtu.be/DtPxaVcdIw4" TargetMode="External"/><Relationship Id="rId62" Type="http://schemas.openxmlformats.org/officeDocument/2006/relationships/hyperlink" Target="https://youtu.be/K6X9yZ6_2QQ" TargetMode="External"/><Relationship Id="rId1" Type="http://schemas.openxmlformats.org/officeDocument/2006/relationships/hyperlink" Target="https://drive.google.com/drive/folders/18I94uHXbwn23mAyG4nxfheSuFupN7LnD?usp=drive_link" TargetMode="External"/><Relationship Id="rId6" Type="http://schemas.openxmlformats.org/officeDocument/2006/relationships/hyperlink" Target="https://youtu.be/RP3R_Qp9e6I" TargetMode="External"/><Relationship Id="rId15" Type="http://schemas.openxmlformats.org/officeDocument/2006/relationships/hyperlink" Target="https://youtu.be/H8BLLgcpNzw" TargetMode="External"/><Relationship Id="rId23" Type="http://schemas.openxmlformats.org/officeDocument/2006/relationships/hyperlink" Target="https://youtu.be/o_EEjBjlaOM" TargetMode="External"/><Relationship Id="rId28" Type="http://schemas.openxmlformats.org/officeDocument/2006/relationships/hyperlink" Target="https://youtu.be/E54aFmKBKVY" TargetMode="External"/><Relationship Id="rId36" Type="http://schemas.openxmlformats.org/officeDocument/2006/relationships/hyperlink" Target="https://youtu.be/RrzX_5Vx2IQ" TargetMode="External"/><Relationship Id="rId49" Type="http://schemas.openxmlformats.org/officeDocument/2006/relationships/hyperlink" Target="https://youtu.be/a3gFtcFS8_c" TargetMode="External"/><Relationship Id="rId57" Type="http://schemas.openxmlformats.org/officeDocument/2006/relationships/hyperlink" Target="https://youtu.be/HQLdbbwKen0" TargetMode="External"/><Relationship Id="rId10" Type="http://schemas.openxmlformats.org/officeDocument/2006/relationships/hyperlink" Target="https://youtu.be/_ukBwx-M7-Q" TargetMode="External"/><Relationship Id="rId31" Type="http://schemas.openxmlformats.org/officeDocument/2006/relationships/hyperlink" Target="https://youtu.be/hHbYDbJ_E5Y" TargetMode="External"/><Relationship Id="rId44" Type="http://schemas.openxmlformats.org/officeDocument/2006/relationships/hyperlink" Target="https://youtu.be/TB-8CxPeDgE" TargetMode="External"/><Relationship Id="rId52" Type="http://schemas.openxmlformats.org/officeDocument/2006/relationships/hyperlink" Target="https://youtu.be/b36gH-yYGtg" TargetMode="External"/><Relationship Id="rId60" Type="http://schemas.openxmlformats.org/officeDocument/2006/relationships/hyperlink" Target="https://youtu.be/2l76ukmTN0A" TargetMode="External"/><Relationship Id="rId65" Type="http://schemas.openxmlformats.org/officeDocument/2006/relationships/hyperlink" Target="https://youtu.be/Y7auuGCwQWQ" TargetMode="External"/><Relationship Id="rId4" Type="http://schemas.openxmlformats.org/officeDocument/2006/relationships/hyperlink" Target="https://youtu.be/E69-DYsTaeM" TargetMode="External"/><Relationship Id="rId9" Type="http://schemas.openxmlformats.org/officeDocument/2006/relationships/hyperlink" Target="https://youtu.be/VrVaiYfXPHU" TargetMode="External"/><Relationship Id="rId13" Type="http://schemas.openxmlformats.org/officeDocument/2006/relationships/hyperlink" Target="https://youtu.be/bVGpA-9SH-I" TargetMode="External"/><Relationship Id="rId18" Type="http://schemas.openxmlformats.org/officeDocument/2006/relationships/hyperlink" Target="https://youtu.be/Mx5V-txH-CA" TargetMode="External"/><Relationship Id="rId39" Type="http://schemas.openxmlformats.org/officeDocument/2006/relationships/hyperlink" Target="https://youtu.be/snq5ipWlj4M"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youtu.be/XIGS3jjz8cQ" TargetMode="External"/><Relationship Id="rId117" Type="http://schemas.openxmlformats.org/officeDocument/2006/relationships/hyperlink" Target="https://youtu.be/qb-GWBrZ0XA" TargetMode="External"/><Relationship Id="rId21" Type="http://schemas.openxmlformats.org/officeDocument/2006/relationships/hyperlink" Target="https://youtu.be/qD7xl0ZZjhk" TargetMode="External"/><Relationship Id="rId42" Type="http://schemas.openxmlformats.org/officeDocument/2006/relationships/hyperlink" Target="https://youtu.be/GS3lDKBVvNA" TargetMode="External"/><Relationship Id="rId47" Type="http://schemas.openxmlformats.org/officeDocument/2006/relationships/hyperlink" Target="https://youtu.be/yzXgNn_pNQU" TargetMode="External"/><Relationship Id="rId63" Type="http://schemas.openxmlformats.org/officeDocument/2006/relationships/hyperlink" Target="https://youtu.be/KON6-3-XIy8" TargetMode="External"/><Relationship Id="rId68" Type="http://schemas.openxmlformats.org/officeDocument/2006/relationships/hyperlink" Target="https://youtu.be/L-rQmj3xMkI" TargetMode="External"/><Relationship Id="rId84" Type="http://schemas.openxmlformats.org/officeDocument/2006/relationships/hyperlink" Target="https://youtu.be/17dEbecypfE" TargetMode="External"/><Relationship Id="rId89" Type="http://schemas.openxmlformats.org/officeDocument/2006/relationships/hyperlink" Target="https://youtu.be/-f27KPLQeHs" TargetMode="External"/><Relationship Id="rId112" Type="http://schemas.openxmlformats.org/officeDocument/2006/relationships/hyperlink" Target="https://youtu.be/uL3-GYu8KiI" TargetMode="External"/><Relationship Id="rId16" Type="http://schemas.openxmlformats.org/officeDocument/2006/relationships/hyperlink" Target="https://youtu.be/qhXkCr70CHs" TargetMode="External"/><Relationship Id="rId107" Type="http://schemas.openxmlformats.org/officeDocument/2006/relationships/hyperlink" Target="https://youtu.be/wz6lFJKZGak" TargetMode="External"/><Relationship Id="rId11" Type="http://schemas.openxmlformats.org/officeDocument/2006/relationships/hyperlink" Target="https://youtu.be/pPGT6ZWTfwU" TargetMode="External"/><Relationship Id="rId32" Type="http://schemas.openxmlformats.org/officeDocument/2006/relationships/hyperlink" Target="https://youtu.be/bUg25nSgmIg" TargetMode="External"/><Relationship Id="rId37" Type="http://schemas.openxmlformats.org/officeDocument/2006/relationships/hyperlink" Target="https://youtu.be/HvA7y5UtEak" TargetMode="External"/><Relationship Id="rId53" Type="http://schemas.openxmlformats.org/officeDocument/2006/relationships/hyperlink" Target="https://youtu.be/57mNk9uxX14" TargetMode="External"/><Relationship Id="rId58" Type="http://schemas.openxmlformats.org/officeDocument/2006/relationships/hyperlink" Target="https://youtu.be/t9jt6wJBmzA" TargetMode="External"/><Relationship Id="rId74" Type="http://schemas.openxmlformats.org/officeDocument/2006/relationships/hyperlink" Target="https://youtu.be/AASk-CP-J88" TargetMode="External"/><Relationship Id="rId79" Type="http://schemas.openxmlformats.org/officeDocument/2006/relationships/hyperlink" Target="https://youtu.be/7e7RgvT5zUw" TargetMode="External"/><Relationship Id="rId102" Type="http://schemas.openxmlformats.org/officeDocument/2006/relationships/hyperlink" Target="https://youtu.be/gJh77hXYTXs" TargetMode="External"/><Relationship Id="rId5" Type="http://schemas.openxmlformats.org/officeDocument/2006/relationships/hyperlink" Target="https://youtu.be/zLNex2F2yuQ" TargetMode="External"/><Relationship Id="rId90" Type="http://schemas.openxmlformats.org/officeDocument/2006/relationships/hyperlink" Target="https://youtu.be/AwXHHf2C2v8" TargetMode="External"/><Relationship Id="rId95" Type="http://schemas.openxmlformats.org/officeDocument/2006/relationships/hyperlink" Target="https://youtu.be/OS9aLEoCIyo" TargetMode="External"/><Relationship Id="rId22" Type="http://schemas.openxmlformats.org/officeDocument/2006/relationships/hyperlink" Target="https://youtu.be/w6QIK30X8SM" TargetMode="External"/><Relationship Id="rId27" Type="http://schemas.openxmlformats.org/officeDocument/2006/relationships/hyperlink" Target="https://youtu.be/Q8LS0u1QMDM" TargetMode="External"/><Relationship Id="rId43" Type="http://schemas.openxmlformats.org/officeDocument/2006/relationships/hyperlink" Target="https://youtu.be/2FgBvOXC4ow" TargetMode="External"/><Relationship Id="rId48" Type="http://schemas.openxmlformats.org/officeDocument/2006/relationships/hyperlink" Target="https://youtu.be/6IWmBkGlfbQ" TargetMode="External"/><Relationship Id="rId64" Type="http://schemas.openxmlformats.org/officeDocument/2006/relationships/hyperlink" Target="https://youtu.be/01Hb_UV-yDA" TargetMode="External"/><Relationship Id="rId69" Type="http://schemas.openxmlformats.org/officeDocument/2006/relationships/hyperlink" Target="https://youtu.be/SSTaJdLNTRY" TargetMode="External"/><Relationship Id="rId113" Type="http://schemas.openxmlformats.org/officeDocument/2006/relationships/hyperlink" Target="https://youtu.be/ztng7QRF0oQ" TargetMode="External"/><Relationship Id="rId118" Type="http://schemas.openxmlformats.org/officeDocument/2006/relationships/hyperlink" Target="https://youtu.be/_Y6orSalq80" TargetMode="External"/><Relationship Id="rId80" Type="http://schemas.openxmlformats.org/officeDocument/2006/relationships/hyperlink" Target="https://youtu.be/yteOg2jkoV0" TargetMode="External"/><Relationship Id="rId85" Type="http://schemas.openxmlformats.org/officeDocument/2006/relationships/hyperlink" Target="https://youtu.be/CvSbIY4f0GU" TargetMode="External"/><Relationship Id="rId12" Type="http://schemas.openxmlformats.org/officeDocument/2006/relationships/hyperlink" Target="https://youtu.be/o3bLXPwkKVM" TargetMode="External"/><Relationship Id="rId17" Type="http://schemas.openxmlformats.org/officeDocument/2006/relationships/hyperlink" Target="https://youtu.be/0LoNnmhG_GM" TargetMode="External"/><Relationship Id="rId33" Type="http://schemas.openxmlformats.org/officeDocument/2006/relationships/hyperlink" Target="https://youtu.be/-oTS05zs7r8" TargetMode="External"/><Relationship Id="rId38" Type="http://schemas.openxmlformats.org/officeDocument/2006/relationships/hyperlink" Target="https://youtu.be/X-TACuTZvj0" TargetMode="External"/><Relationship Id="rId59" Type="http://schemas.openxmlformats.org/officeDocument/2006/relationships/hyperlink" Target="https://youtu.be/jXR1O3a6YZM" TargetMode="External"/><Relationship Id="rId103" Type="http://schemas.openxmlformats.org/officeDocument/2006/relationships/hyperlink" Target="https://youtu.be/-39VBlMzuRI" TargetMode="External"/><Relationship Id="rId108" Type="http://schemas.openxmlformats.org/officeDocument/2006/relationships/hyperlink" Target="https://youtu.be/3oE9Qs_dclk" TargetMode="External"/><Relationship Id="rId54" Type="http://schemas.openxmlformats.org/officeDocument/2006/relationships/hyperlink" Target="https://youtu.be/eT1v_ywgL-w" TargetMode="External"/><Relationship Id="rId70" Type="http://schemas.openxmlformats.org/officeDocument/2006/relationships/hyperlink" Target="https://youtu.be/4Z5JhJylsic" TargetMode="External"/><Relationship Id="rId75" Type="http://schemas.openxmlformats.org/officeDocument/2006/relationships/hyperlink" Target="https://youtu.be/Y9QwlY_GL_M" TargetMode="External"/><Relationship Id="rId91" Type="http://schemas.openxmlformats.org/officeDocument/2006/relationships/hyperlink" Target="https://youtu.be/GAl_hzwgkPQ" TargetMode="External"/><Relationship Id="rId96" Type="http://schemas.openxmlformats.org/officeDocument/2006/relationships/hyperlink" Target="https://youtu.be/CoXqJJ0SKEo" TargetMode="External"/><Relationship Id="rId1" Type="http://schemas.openxmlformats.org/officeDocument/2006/relationships/hyperlink" Target="https://youtu.be/xjytbB7IAW8" TargetMode="External"/><Relationship Id="rId6" Type="http://schemas.openxmlformats.org/officeDocument/2006/relationships/hyperlink" Target="https://youtu.be/JTNBzQy49pc" TargetMode="External"/><Relationship Id="rId23" Type="http://schemas.openxmlformats.org/officeDocument/2006/relationships/hyperlink" Target="https://youtu.be/4Gum-AvzeZo" TargetMode="External"/><Relationship Id="rId28" Type="http://schemas.openxmlformats.org/officeDocument/2006/relationships/hyperlink" Target="https://youtu.be/VqP48f_MkvM" TargetMode="External"/><Relationship Id="rId49" Type="http://schemas.openxmlformats.org/officeDocument/2006/relationships/hyperlink" Target="https://youtu.be/hkgLaFKKLrs" TargetMode="External"/><Relationship Id="rId114" Type="http://schemas.openxmlformats.org/officeDocument/2006/relationships/hyperlink" Target="https://youtu.be/hsoBHM8FuvA" TargetMode="External"/><Relationship Id="rId119" Type="http://schemas.openxmlformats.org/officeDocument/2006/relationships/hyperlink" Target="https://youtu.be/IuRvyMKwR9w" TargetMode="External"/><Relationship Id="rId44" Type="http://schemas.openxmlformats.org/officeDocument/2006/relationships/hyperlink" Target="https://youtu.be/6FbjyEHQk3Y" TargetMode="External"/><Relationship Id="rId60" Type="http://schemas.openxmlformats.org/officeDocument/2006/relationships/hyperlink" Target="https://youtu.be/NetNtfS3i4g" TargetMode="External"/><Relationship Id="rId65" Type="http://schemas.openxmlformats.org/officeDocument/2006/relationships/hyperlink" Target="https://youtu.be/GGKLbcpO_DY" TargetMode="External"/><Relationship Id="rId81" Type="http://schemas.openxmlformats.org/officeDocument/2006/relationships/hyperlink" Target="https://youtu.be/Y8Nogbn5ksw" TargetMode="External"/><Relationship Id="rId86" Type="http://schemas.openxmlformats.org/officeDocument/2006/relationships/hyperlink" Target="https://youtu.be/S5B31VYLlLA" TargetMode="External"/><Relationship Id="rId4" Type="http://schemas.openxmlformats.org/officeDocument/2006/relationships/hyperlink" Target="https://youtu.be/-J2YXURxPXg" TargetMode="External"/><Relationship Id="rId9" Type="http://schemas.openxmlformats.org/officeDocument/2006/relationships/hyperlink" Target="https://youtu.be/Gx5MGxpz1BY" TargetMode="External"/><Relationship Id="rId13" Type="http://schemas.openxmlformats.org/officeDocument/2006/relationships/hyperlink" Target="https://youtu.be/m9e9sAF1eCo" TargetMode="External"/><Relationship Id="rId18" Type="http://schemas.openxmlformats.org/officeDocument/2006/relationships/hyperlink" Target="https://youtu.be/RrXnHwuJB24" TargetMode="External"/><Relationship Id="rId39" Type="http://schemas.openxmlformats.org/officeDocument/2006/relationships/hyperlink" Target="https://youtu.be/fH32emxK0lM" TargetMode="External"/><Relationship Id="rId109" Type="http://schemas.openxmlformats.org/officeDocument/2006/relationships/hyperlink" Target="https://youtu.be/gdwbn0AL6gA" TargetMode="External"/><Relationship Id="rId34" Type="http://schemas.openxmlformats.org/officeDocument/2006/relationships/hyperlink" Target="https://youtu.be/WkgPavaOSB0" TargetMode="External"/><Relationship Id="rId50" Type="http://schemas.openxmlformats.org/officeDocument/2006/relationships/hyperlink" Target="https://youtu.be/7nFINwpLnG0" TargetMode="External"/><Relationship Id="rId55" Type="http://schemas.openxmlformats.org/officeDocument/2006/relationships/hyperlink" Target="https://youtu.be/8HAQDB_lRqE" TargetMode="External"/><Relationship Id="rId76" Type="http://schemas.openxmlformats.org/officeDocument/2006/relationships/hyperlink" Target="https://youtu.be/McVt05VV8lo" TargetMode="External"/><Relationship Id="rId97" Type="http://schemas.openxmlformats.org/officeDocument/2006/relationships/hyperlink" Target="https://youtu.be/ufFePKFDobo" TargetMode="External"/><Relationship Id="rId104" Type="http://schemas.openxmlformats.org/officeDocument/2006/relationships/hyperlink" Target="https://youtu.be/UE99zvuvhMs" TargetMode="External"/><Relationship Id="rId120" Type="http://schemas.openxmlformats.org/officeDocument/2006/relationships/hyperlink" Target="https://youtu.be/6ieulJ6V4xQ" TargetMode="External"/><Relationship Id="rId7" Type="http://schemas.openxmlformats.org/officeDocument/2006/relationships/hyperlink" Target="https://youtu.be/QLrYOm7tep0" TargetMode="External"/><Relationship Id="rId71" Type="http://schemas.openxmlformats.org/officeDocument/2006/relationships/hyperlink" Target="https://youtu.be/CM-U0bX-0kQ" TargetMode="External"/><Relationship Id="rId92" Type="http://schemas.openxmlformats.org/officeDocument/2006/relationships/hyperlink" Target="https://youtu.be/SeVy0by8pL4" TargetMode="External"/><Relationship Id="rId2" Type="http://schemas.openxmlformats.org/officeDocument/2006/relationships/hyperlink" Target="https://youtu.be/YWys2JtHYrs" TargetMode="External"/><Relationship Id="rId29" Type="http://schemas.openxmlformats.org/officeDocument/2006/relationships/hyperlink" Target="https://youtu.be/aFBm61hOKig" TargetMode="External"/><Relationship Id="rId24" Type="http://schemas.openxmlformats.org/officeDocument/2006/relationships/hyperlink" Target="https://youtu.be/lXGWLVCZ5nk" TargetMode="External"/><Relationship Id="rId40" Type="http://schemas.openxmlformats.org/officeDocument/2006/relationships/hyperlink" Target="https://youtu.be/zlifHNW3djc" TargetMode="External"/><Relationship Id="rId45" Type="http://schemas.openxmlformats.org/officeDocument/2006/relationships/hyperlink" Target="https://youtu.be/iP-iCxOWVSY" TargetMode="External"/><Relationship Id="rId66" Type="http://schemas.openxmlformats.org/officeDocument/2006/relationships/hyperlink" Target="https://youtu.be/0aPzdqLQezg" TargetMode="External"/><Relationship Id="rId87" Type="http://schemas.openxmlformats.org/officeDocument/2006/relationships/hyperlink" Target="https://youtu.be/YFjqnRr00GA" TargetMode="External"/><Relationship Id="rId110" Type="http://schemas.openxmlformats.org/officeDocument/2006/relationships/hyperlink" Target="https://youtu.be/EE82_DVsf1E" TargetMode="External"/><Relationship Id="rId115" Type="http://schemas.openxmlformats.org/officeDocument/2006/relationships/hyperlink" Target="https://youtu.be/7uFgLMqYMj0" TargetMode="External"/><Relationship Id="rId61" Type="http://schemas.openxmlformats.org/officeDocument/2006/relationships/hyperlink" Target="https://youtu.be/f36WU6YJ_gw" TargetMode="External"/><Relationship Id="rId82" Type="http://schemas.openxmlformats.org/officeDocument/2006/relationships/hyperlink" Target="https://youtu.be/7gJktl2k97s" TargetMode="External"/><Relationship Id="rId19" Type="http://schemas.openxmlformats.org/officeDocument/2006/relationships/hyperlink" Target="https://youtu.be/WBQdlBh6Ezo" TargetMode="External"/><Relationship Id="rId14" Type="http://schemas.openxmlformats.org/officeDocument/2006/relationships/hyperlink" Target="https://youtu.be/NKNimSPNvb0" TargetMode="External"/><Relationship Id="rId30" Type="http://schemas.openxmlformats.org/officeDocument/2006/relationships/hyperlink" Target="https://youtu.be/QYiapV5fUVU" TargetMode="External"/><Relationship Id="rId35" Type="http://schemas.openxmlformats.org/officeDocument/2006/relationships/hyperlink" Target="https://youtu.be/GfjUEAeh4p8" TargetMode="External"/><Relationship Id="rId56" Type="http://schemas.openxmlformats.org/officeDocument/2006/relationships/hyperlink" Target="https://youtu.be/h1w4vKop-oQ" TargetMode="External"/><Relationship Id="rId77" Type="http://schemas.openxmlformats.org/officeDocument/2006/relationships/hyperlink" Target="https://youtu.be/RcJoHOw7fbM" TargetMode="External"/><Relationship Id="rId100" Type="http://schemas.openxmlformats.org/officeDocument/2006/relationships/hyperlink" Target="https://youtu.be/FIiYxToV7eQ" TargetMode="External"/><Relationship Id="rId105" Type="http://schemas.openxmlformats.org/officeDocument/2006/relationships/hyperlink" Target="https://youtu.be/duYf995j98I" TargetMode="External"/><Relationship Id="rId8" Type="http://schemas.openxmlformats.org/officeDocument/2006/relationships/hyperlink" Target="https://youtu.be/ZSiUf7cxF1M" TargetMode="External"/><Relationship Id="rId51" Type="http://schemas.openxmlformats.org/officeDocument/2006/relationships/hyperlink" Target="https://youtu.be/_euO5eOBNp4" TargetMode="External"/><Relationship Id="rId72" Type="http://schemas.openxmlformats.org/officeDocument/2006/relationships/hyperlink" Target="https://youtu.be/3RW9zEiG6W4" TargetMode="External"/><Relationship Id="rId93" Type="http://schemas.openxmlformats.org/officeDocument/2006/relationships/hyperlink" Target="https://youtu.be/zWwAzzonOgE" TargetMode="External"/><Relationship Id="rId98" Type="http://schemas.openxmlformats.org/officeDocument/2006/relationships/hyperlink" Target="https://youtu.be/etVsoXCc2sg" TargetMode="External"/><Relationship Id="rId121" Type="http://schemas.openxmlformats.org/officeDocument/2006/relationships/hyperlink" Target="https://youtu.be/ypEOLAGsqs0" TargetMode="External"/><Relationship Id="rId3" Type="http://schemas.openxmlformats.org/officeDocument/2006/relationships/hyperlink" Target="https://youtu.be/S2EJaCn4kI8" TargetMode="External"/><Relationship Id="rId25" Type="http://schemas.openxmlformats.org/officeDocument/2006/relationships/hyperlink" Target="https://youtu.be/QBfZ5DR3Htc" TargetMode="External"/><Relationship Id="rId46" Type="http://schemas.openxmlformats.org/officeDocument/2006/relationships/hyperlink" Target="https://youtu.be/ruv1RTn2K5c" TargetMode="External"/><Relationship Id="rId67" Type="http://schemas.openxmlformats.org/officeDocument/2006/relationships/hyperlink" Target="https://youtu.be/CavGI3hojDs" TargetMode="External"/><Relationship Id="rId116" Type="http://schemas.openxmlformats.org/officeDocument/2006/relationships/hyperlink" Target="https://youtu.be/ddgIon2LEVQ" TargetMode="External"/><Relationship Id="rId20" Type="http://schemas.openxmlformats.org/officeDocument/2006/relationships/hyperlink" Target="https://youtu.be/M_1gCThR1aE" TargetMode="External"/><Relationship Id="rId41" Type="http://schemas.openxmlformats.org/officeDocument/2006/relationships/hyperlink" Target="https://youtu.be/4RsrlsPngBo" TargetMode="External"/><Relationship Id="rId62" Type="http://schemas.openxmlformats.org/officeDocument/2006/relationships/hyperlink" Target="https://youtu.be/Ucs6lY2yvcs" TargetMode="External"/><Relationship Id="rId83" Type="http://schemas.openxmlformats.org/officeDocument/2006/relationships/hyperlink" Target="https://youtu.be/HLgWwXI5fWo" TargetMode="External"/><Relationship Id="rId88" Type="http://schemas.openxmlformats.org/officeDocument/2006/relationships/hyperlink" Target="https://youtu.be/GtFf8ZZYVE4" TargetMode="External"/><Relationship Id="rId111" Type="http://schemas.openxmlformats.org/officeDocument/2006/relationships/hyperlink" Target="https://youtu.be/2zkbOYUTTZw" TargetMode="External"/><Relationship Id="rId15" Type="http://schemas.openxmlformats.org/officeDocument/2006/relationships/hyperlink" Target="https://youtu.be/lh-27JpCxc4" TargetMode="External"/><Relationship Id="rId36" Type="http://schemas.openxmlformats.org/officeDocument/2006/relationships/hyperlink" Target="https://youtu.be/zddMzhikLKk" TargetMode="External"/><Relationship Id="rId57" Type="http://schemas.openxmlformats.org/officeDocument/2006/relationships/hyperlink" Target="https://youtu.be/CzqxzN-Xh4Q" TargetMode="External"/><Relationship Id="rId106" Type="http://schemas.openxmlformats.org/officeDocument/2006/relationships/hyperlink" Target="https://youtu.be/OpMNdHWPn3o" TargetMode="External"/><Relationship Id="rId10" Type="http://schemas.openxmlformats.org/officeDocument/2006/relationships/hyperlink" Target="https://youtu.be/pz2NxQYws48" TargetMode="External"/><Relationship Id="rId31" Type="http://schemas.openxmlformats.org/officeDocument/2006/relationships/hyperlink" Target="https://youtu.be/2F-0ygjwBSs" TargetMode="External"/><Relationship Id="rId52" Type="http://schemas.openxmlformats.org/officeDocument/2006/relationships/hyperlink" Target="https://youtu.be/evcy7Aftuu4" TargetMode="External"/><Relationship Id="rId73" Type="http://schemas.openxmlformats.org/officeDocument/2006/relationships/hyperlink" Target="https://youtu.be/fIlciM63TLE" TargetMode="External"/><Relationship Id="rId78" Type="http://schemas.openxmlformats.org/officeDocument/2006/relationships/hyperlink" Target="https://youtu.be/Rgf9-jjrhDU" TargetMode="External"/><Relationship Id="rId94" Type="http://schemas.openxmlformats.org/officeDocument/2006/relationships/hyperlink" Target="https://youtu.be/faNIO2I5juk" TargetMode="External"/><Relationship Id="rId99" Type="http://schemas.openxmlformats.org/officeDocument/2006/relationships/hyperlink" Target="https://youtu.be/iFFrLLgxLIs" TargetMode="External"/><Relationship Id="rId101" Type="http://schemas.openxmlformats.org/officeDocument/2006/relationships/hyperlink" Target="https://youtu.be/OuZ722lFV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0CB4-1EEF-4385-8C82-C9294C9F386F}">
  <dimension ref="A1:H52"/>
  <sheetViews>
    <sheetView workbookViewId="0">
      <pane ySplit="1" topLeftCell="A2" activePane="bottomLeft" state="frozen"/>
      <selection pane="bottomLeft" activeCell="H20" sqref="H20"/>
    </sheetView>
  </sheetViews>
  <sheetFormatPr defaultRowHeight="15"/>
  <cols>
    <col min="1" max="1" width="9.140625" style="86" bestFit="1" customWidth="1"/>
    <col min="2" max="2" width="58.85546875" style="86" bestFit="1" customWidth="1"/>
    <col min="3" max="3" width="31.85546875" style="86" bestFit="1" customWidth="1"/>
    <col min="4" max="4" width="18.28515625" style="86" customWidth="1"/>
    <col min="5" max="5" width="15.5703125" style="86" customWidth="1"/>
    <col min="6" max="6" width="14.42578125" style="86" customWidth="1"/>
    <col min="7" max="7" width="9.140625" style="86"/>
    <col min="8" max="8" width="22" customWidth="1"/>
  </cols>
  <sheetData>
    <row r="1" spans="1:8" ht="25.5" customHeight="1">
      <c r="A1" s="85" t="s">
        <v>0</v>
      </c>
      <c r="B1" s="85" t="s">
        <v>1</v>
      </c>
      <c r="C1" s="85" t="s">
        <v>2</v>
      </c>
      <c r="D1" s="85" t="s">
        <v>3</v>
      </c>
      <c r="E1" s="85" t="s">
        <v>4</v>
      </c>
      <c r="F1" s="85" t="s">
        <v>5</v>
      </c>
      <c r="G1" s="85" t="s">
        <v>6</v>
      </c>
      <c r="H1" s="91"/>
    </row>
    <row r="2" spans="1:8">
      <c r="A2" s="87" t="s">
        <v>7</v>
      </c>
      <c r="B2" s="87" t="s">
        <v>8</v>
      </c>
      <c r="C2" s="87" t="s">
        <v>9</v>
      </c>
      <c r="D2" s="87" t="s">
        <v>10</v>
      </c>
      <c r="E2" s="87">
        <v>7</v>
      </c>
      <c r="F2" s="87" t="s">
        <v>11</v>
      </c>
      <c r="G2" s="87" t="s">
        <v>12</v>
      </c>
    </row>
    <row r="3" spans="1:8">
      <c r="A3" s="87" t="s">
        <v>13</v>
      </c>
      <c r="B3" s="87" t="s">
        <v>14</v>
      </c>
      <c r="C3" s="87" t="s">
        <v>15</v>
      </c>
      <c r="D3" s="87" t="s">
        <v>10</v>
      </c>
      <c r="E3" s="87">
        <v>7</v>
      </c>
      <c r="F3" s="87" t="s">
        <v>11</v>
      </c>
      <c r="G3" s="87" t="s">
        <v>12</v>
      </c>
    </row>
    <row r="4" spans="1:8">
      <c r="A4" s="87" t="s">
        <v>16</v>
      </c>
      <c r="B4" s="87" t="s">
        <v>17</v>
      </c>
      <c r="C4" s="87" t="s">
        <v>18</v>
      </c>
      <c r="D4" s="87" t="s">
        <v>19</v>
      </c>
      <c r="E4" s="87">
        <v>8</v>
      </c>
      <c r="F4" s="87" t="s">
        <v>20</v>
      </c>
      <c r="G4" s="87" t="s">
        <v>12</v>
      </c>
    </row>
    <row r="5" spans="1:8">
      <c r="A5" s="87" t="s">
        <v>21</v>
      </c>
      <c r="B5" s="87" t="s">
        <v>22</v>
      </c>
      <c r="C5" s="87" t="s">
        <v>23</v>
      </c>
      <c r="D5" s="87" t="s">
        <v>24</v>
      </c>
      <c r="E5" s="87">
        <v>8</v>
      </c>
      <c r="F5" s="87" t="s">
        <v>20</v>
      </c>
      <c r="G5" s="87" t="s">
        <v>12</v>
      </c>
    </row>
    <row r="6" spans="1:8">
      <c r="A6" s="87" t="s">
        <v>25</v>
      </c>
      <c r="B6" s="87" t="s">
        <v>26</v>
      </c>
      <c r="C6" s="87" t="s">
        <v>15</v>
      </c>
      <c r="D6" s="87" t="s">
        <v>27</v>
      </c>
      <c r="E6" s="87">
        <v>8</v>
      </c>
      <c r="F6" s="87" t="s">
        <v>20</v>
      </c>
      <c r="G6" s="87" t="s">
        <v>12</v>
      </c>
    </row>
    <row r="7" spans="1:8">
      <c r="A7" s="87" t="s">
        <v>28</v>
      </c>
      <c r="B7" s="87" t="s">
        <v>29</v>
      </c>
      <c r="C7" s="87" t="s">
        <v>30</v>
      </c>
      <c r="D7" s="87" t="s">
        <v>31</v>
      </c>
      <c r="E7" s="87">
        <v>8</v>
      </c>
      <c r="F7" s="87" t="s">
        <v>20</v>
      </c>
      <c r="G7" s="87" t="s">
        <v>12</v>
      </c>
    </row>
    <row r="8" spans="1:8">
      <c r="A8" s="87" t="s">
        <v>32</v>
      </c>
      <c r="B8" s="87" t="s">
        <v>33</v>
      </c>
      <c r="C8" s="87" t="s">
        <v>34</v>
      </c>
      <c r="D8" s="87" t="s">
        <v>35</v>
      </c>
      <c r="E8" s="87">
        <v>8</v>
      </c>
      <c r="F8" s="87" t="s">
        <v>20</v>
      </c>
      <c r="G8" s="87" t="s">
        <v>12</v>
      </c>
    </row>
    <row r="9" spans="1:8">
      <c r="A9" s="88" t="s">
        <v>36</v>
      </c>
      <c r="B9" s="88" t="s">
        <v>37</v>
      </c>
      <c r="C9" s="88" t="s">
        <v>38</v>
      </c>
      <c r="D9" s="88" t="s">
        <v>19</v>
      </c>
      <c r="E9" s="88">
        <v>8</v>
      </c>
      <c r="F9" s="88" t="s">
        <v>20</v>
      </c>
      <c r="G9" s="88" t="s">
        <v>39</v>
      </c>
    </row>
    <row r="10" spans="1:8">
      <c r="A10" s="88" t="s">
        <v>40</v>
      </c>
      <c r="B10" s="88" t="s">
        <v>41</v>
      </c>
      <c r="C10" s="88" t="s">
        <v>42</v>
      </c>
      <c r="D10" s="88" t="s">
        <v>43</v>
      </c>
      <c r="E10" s="88">
        <v>8</v>
      </c>
      <c r="F10" s="88" t="s">
        <v>20</v>
      </c>
      <c r="G10" s="88" t="s">
        <v>39</v>
      </c>
    </row>
    <row r="11" spans="1:8">
      <c r="A11" s="88" t="s">
        <v>44</v>
      </c>
      <c r="B11" s="88" t="s">
        <v>45</v>
      </c>
      <c r="C11" s="88" t="s">
        <v>42</v>
      </c>
      <c r="D11" s="88" t="s">
        <v>46</v>
      </c>
      <c r="E11" s="88">
        <v>8</v>
      </c>
      <c r="F11" s="88" t="s">
        <v>47</v>
      </c>
      <c r="G11" s="88" t="s">
        <v>39</v>
      </c>
    </row>
    <row r="12" spans="1:8">
      <c r="A12" s="88" t="s">
        <v>48</v>
      </c>
      <c r="B12" s="88" t="s">
        <v>49</v>
      </c>
      <c r="C12" s="88" t="s">
        <v>50</v>
      </c>
      <c r="D12" s="88" t="s">
        <v>51</v>
      </c>
      <c r="E12" s="88">
        <v>8</v>
      </c>
      <c r="F12" s="88" t="s">
        <v>47</v>
      </c>
      <c r="G12" s="88" t="s">
        <v>39</v>
      </c>
    </row>
    <row r="13" spans="1:8">
      <c r="A13" s="88" t="s">
        <v>52</v>
      </c>
      <c r="B13" s="88" t="s">
        <v>53</v>
      </c>
      <c r="C13" s="88" t="s">
        <v>54</v>
      </c>
      <c r="D13" s="88" t="s">
        <v>55</v>
      </c>
      <c r="E13" s="88">
        <v>8</v>
      </c>
      <c r="F13" s="88" t="s">
        <v>20</v>
      </c>
      <c r="G13" s="88" t="s">
        <v>39</v>
      </c>
    </row>
    <row r="14" spans="1:8">
      <c r="A14" s="88" t="s">
        <v>56</v>
      </c>
      <c r="B14" s="88" t="s">
        <v>57</v>
      </c>
      <c r="C14" s="88" t="s">
        <v>58</v>
      </c>
      <c r="D14" s="88" t="s">
        <v>24</v>
      </c>
      <c r="E14" s="88">
        <v>8</v>
      </c>
      <c r="F14" s="88" t="s">
        <v>20</v>
      </c>
      <c r="G14" s="88" t="s">
        <v>39</v>
      </c>
    </row>
    <row r="15" spans="1:8">
      <c r="A15" s="87" t="s">
        <v>59</v>
      </c>
      <c r="B15" s="87" t="s">
        <v>60</v>
      </c>
      <c r="C15" s="87" t="s">
        <v>38</v>
      </c>
      <c r="D15" s="87" t="s">
        <v>27</v>
      </c>
      <c r="E15" s="87">
        <v>8</v>
      </c>
      <c r="F15" s="87" t="s">
        <v>20</v>
      </c>
      <c r="G15" s="87" t="s">
        <v>61</v>
      </c>
    </row>
    <row r="16" spans="1:8">
      <c r="A16" s="87" t="s">
        <v>62</v>
      </c>
      <c r="B16" s="87" t="s">
        <v>63</v>
      </c>
      <c r="C16" s="87" t="s">
        <v>64</v>
      </c>
      <c r="D16" s="87" t="s">
        <v>65</v>
      </c>
      <c r="E16" s="87">
        <v>8</v>
      </c>
      <c r="F16" s="87" t="s">
        <v>20</v>
      </c>
      <c r="G16" s="87" t="s">
        <v>61</v>
      </c>
    </row>
    <row r="17" spans="1:7">
      <c r="A17" s="87" t="s">
        <v>66</v>
      </c>
      <c r="B17" s="87" t="s">
        <v>67</v>
      </c>
      <c r="C17" s="87" t="s">
        <v>15</v>
      </c>
      <c r="D17" s="87" t="s">
        <v>10</v>
      </c>
      <c r="E17" s="87">
        <v>7</v>
      </c>
      <c r="F17" s="87" t="s">
        <v>11</v>
      </c>
      <c r="G17" s="87" t="s">
        <v>61</v>
      </c>
    </row>
    <row r="18" spans="1:7">
      <c r="A18" s="87" t="s">
        <v>68</v>
      </c>
      <c r="B18" s="87" t="s">
        <v>69</v>
      </c>
      <c r="C18" s="87" t="s">
        <v>70</v>
      </c>
      <c r="D18" s="87" t="s">
        <v>35</v>
      </c>
      <c r="E18" s="87">
        <v>8</v>
      </c>
      <c r="F18" s="87" t="s">
        <v>20</v>
      </c>
      <c r="G18" s="87" t="s">
        <v>61</v>
      </c>
    </row>
    <row r="19" spans="1:7">
      <c r="A19" s="87" t="s">
        <v>71</v>
      </c>
      <c r="B19" s="87" t="s">
        <v>72</v>
      </c>
      <c r="C19" s="87" t="s">
        <v>73</v>
      </c>
      <c r="D19" s="87" t="s">
        <v>46</v>
      </c>
      <c r="E19" s="87">
        <v>8</v>
      </c>
      <c r="F19" s="87" t="s">
        <v>20</v>
      </c>
      <c r="G19" s="87" t="s">
        <v>61</v>
      </c>
    </row>
    <row r="20" spans="1:7">
      <c r="A20" s="87" t="s">
        <v>74</v>
      </c>
      <c r="B20" s="87" t="s">
        <v>75</v>
      </c>
      <c r="C20" s="87" t="s">
        <v>70</v>
      </c>
      <c r="D20" s="87" t="s">
        <v>76</v>
      </c>
      <c r="E20" s="87">
        <v>8</v>
      </c>
      <c r="F20" s="87" t="s">
        <v>20</v>
      </c>
      <c r="G20" s="87" t="s">
        <v>61</v>
      </c>
    </row>
    <row r="21" spans="1:7">
      <c r="A21" s="87" t="s">
        <v>77</v>
      </c>
      <c r="B21" s="87" t="s">
        <v>78</v>
      </c>
      <c r="C21" s="87" t="s">
        <v>79</v>
      </c>
      <c r="D21" s="87" t="s">
        <v>46</v>
      </c>
      <c r="E21" s="87">
        <v>8</v>
      </c>
      <c r="F21" s="87" t="s">
        <v>20</v>
      </c>
      <c r="G21" s="87" t="s">
        <v>61</v>
      </c>
    </row>
    <row r="22" spans="1:7">
      <c r="A22" s="87" t="s">
        <v>80</v>
      </c>
      <c r="B22" s="87" t="s">
        <v>81</v>
      </c>
      <c r="C22" s="87" t="s">
        <v>82</v>
      </c>
      <c r="D22" s="87" t="s">
        <v>83</v>
      </c>
      <c r="E22" s="87">
        <v>8</v>
      </c>
      <c r="F22" s="87" t="s">
        <v>20</v>
      </c>
      <c r="G22" s="87" t="s">
        <v>61</v>
      </c>
    </row>
    <row r="23" spans="1:7">
      <c r="A23" s="87" t="s">
        <v>84</v>
      </c>
      <c r="B23" s="87" t="s">
        <v>85</v>
      </c>
      <c r="C23" s="87" t="s">
        <v>86</v>
      </c>
      <c r="D23" s="87" t="s">
        <v>83</v>
      </c>
      <c r="E23" s="87">
        <v>8</v>
      </c>
      <c r="F23" s="87" t="s">
        <v>20</v>
      </c>
      <c r="G23" s="87" t="s">
        <v>61</v>
      </c>
    </row>
    <row r="24" spans="1:7">
      <c r="A24" s="205" t="s">
        <v>87</v>
      </c>
      <c r="B24" s="205" t="s">
        <v>88</v>
      </c>
      <c r="C24" s="87" t="s">
        <v>89</v>
      </c>
      <c r="D24" s="205" t="s">
        <v>10</v>
      </c>
      <c r="E24" s="87">
        <v>7</v>
      </c>
      <c r="F24" s="87" t="s">
        <v>11</v>
      </c>
      <c r="G24" s="87" t="s">
        <v>61</v>
      </c>
    </row>
    <row r="25" spans="1:7">
      <c r="A25" s="205" t="s">
        <v>90</v>
      </c>
      <c r="B25" s="205" t="s">
        <v>91</v>
      </c>
      <c r="C25" s="87"/>
      <c r="D25" s="205" t="s">
        <v>51</v>
      </c>
      <c r="E25" s="87">
        <v>8</v>
      </c>
      <c r="F25" s="87" t="s">
        <v>20</v>
      </c>
      <c r="G25" s="87" t="s">
        <v>61</v>
      </c>
    </row>
    <row r="26" spans="1:7">
      <c r="A26" s="205" t="s">
        <v>92</v>
      </c>
      <c r="B26" s="205" t="s">
        <v>93</v>
      </c>
      <c r="C26" s="205" t="s">
        <v>94</v>
      </c>
      <c r="D26" s="205"/>
      <c r="E26" s="205"/>
      <c r="F26" s="205"/>
      <c r="G26" s="205" t="s">
        <v>61</v>
      </c>
    </row>
    <row r="27" spans="1:7">
      <c r="A27" s="88" t="s">
        <v>95</v>
      </c>
      <c r="B27" s="88" t="s">
        <v>96</v>
      </c>
      <c r="C27" s="88" t="s">
        <v>97</v>
      </c>
      <c r="D27" s="88" t="s">
        <v>19</v>
      </c>
      <c r="E27" s="88">
        <v>8</v>
      </c>
      <c r="F27" s="88" t="s">
        <v>20</v>
      </c>
      <c r="G27" s="88" t="s">
        <v>98</v>
      </c>
    </row>
    <row r="28" spans="1:7">
      <c r="A28" s="88" t="s">
        <v>99</v>
      </c>
      <c r="B28" s="88" t="s">
        <v>100</v>
      </c>
      <c r="C28" s="88" t="s">
        <v>101</v>
      </c>
      <c r="D28" s="88" t="s">
        <v>24</v>
      </c>
      <c r="E28" s="88">
        <v>8</v>
      </c>
      <c r="F28" s="88" t="s">
        <v>20</v>
      </c>
      <c r="G28" s="88" t="s">
        <v>98</v>
      </c>
    </row>
    <row r="29" spans="1:7">
      <c r="A29" s="88" t="s">
        <v>102</v>
      </c>
      <c r="B29" s="88" t="s">
        <v>103</v>
      </c>
      <c r="C29" s="88" t="s">
        <v>15</v>
      </c>
      <c r="D29" s="88" t="s">
        <v>27</v>
      </c>
      <c r="E29" s="88">
        <v>8</v>
      </c>
      <c r="F29" s="88" t="s">
        <v>20</v>
      </c>
      <c r="G29" s="88" t="s">
        <v>98</v>
      </c>
    </row>
    <row r="30" spans="1:7">
      <c r="A30" s="88" t="s">
        <v>104</v>
      </c>
      <c r="B30" s="88" t="s">
        <v>105</v>
      </c>
      <c r="C30" s="88" t="s">
        <v>106</v>
      </c>
      <c r="D30" s="88" t="s">
        <v>43</v>
      </c>
      <c r="E30" s="88">
        <v>8</v>
      </c>
      <c r="F30" s="88" t="s">
        <v>20</v>
      </c>
      <c r="G30" s="88" t="s">
        <v>98</v>
      </c>
    </row>
    <row r="31" spans="1:7">
      <c r="A31" s="88" t="s">
        <v>107</v>
      </c>
      <c r="B31" s="88" t="s">
        <v>108</v>
      </c>
      <c r="C31" s="88" t="s">
        <v>109</v>
      </c>
      <c r="D31" s="88" t="s">
        <v>35</v>
      </c>
      <c r="E31" s="88">
        <v>8</v>
      </c>
      <c r="F31" s="88" t="s">
        <v>20</v>
      </c>
      <c r="G31" s="88" t="s">
        <v>98</v>
      </c>
    </row>
    <row r="32" spans="1:7">
      <c r="A32" s="88" t="s">
        <v>110</v>
      </c>
      <c r="B32" s="88" t="s">
        <v>111</v>
      </c>
      <c r="C32" s="88" t="s">
        <v>42</v>
      </c>
      <c r="D32" s="88" t="s">
        <v>112</v>
      </c>
      <c r="E32" s="88">
        <v>8</v>
      </c>
      <c r="F32" s="88" t="s">
        <v>20</v>
      </c>
      <c r="G32" s="88" t="s">
        <v>98</v>
      </c>
    </row>
    <row r="33" spans="1:7">
      <c r="A33" s="88" t="s">
        <v>113</v>
      </c>
      <c r="B33" s="88" t="s">
        <v>114</v>
      </c>
      <c r="C33" s="88" t="s">
        <v>115</v>
      </c>
      <c r="D33" s="88" t="s">
        <v>83</v>
      </c>
      <c r="E33" s="88">
        <v>8</v>
      </c>
      <c r="F33" s="88" t="s">
        <v>20</v>
      </c>
      <c r="G33" s="88" t="s">
        <v>98</v>
      </c>
    </row>
    <row r="34" spans="1:7">
      <c r="A34" s="88" t="s">
        <v>116</v>
      </c>
      <c r="B34" s="88" t="s">
        <v>117</v>
      </c>
      <c r="C34" s="88" t="s">
        <v>34</v>
      </c>
      <c r="D34" s="88" t="s">
        <v>83</v>
      </c>
      <c r="E34" s="88">
        <v>8</v>
      </c>
      <c r="F34" s="88" t="s">
        <v>20</v>
      </c>
      <c r="G34" s="88" t="s">
        <v>98</v>
      </c>
    </row>
    <row r="35" spans="1:7">
      <c r="A35" s="287" t="s">
        <v>118</v>
      </c>
      <c r="B35" s="287" t="s">
        <v>119</v>
      </c>
      <c r="C35" s="287"/>
      <c r="D35" s="287" t="s">
        <v>120</v>
      </c>
      <c r="E35" s="287">
        <v>8</v>
      </c>
      <c r="F35" s="287" t="s">
        <v>20</v>
      </c>
      <c r="G35" s="88" t="s">
        <v>98</v>
      </c>
    </row>
    <row r="36" spans="1:7">
      <c r="A36" s="287" t="s">
        <v>121</v>
      </c>
      <c r="B36" s="287" t="s">
        <v>122</v>
      </c>
      <c r="C36" s="287" t="s">
        <v>123</v>
      </c>
      <c r="D36" s="287" t="s">
        <v>124</v>
      </c>
      <c r="E36" s="287">
        <v>8</v>
      </c>
      <c r="F36" s="287" t="s">
        <v>20</v>
      </c>
      <c r="G36" s="88" t="s">
        <v>98</v>
      </c>
    </row>
    <row r="37" spans="1:7">
      <c r="A37" s="205" t="s">
        <v>125</v>
      </c>
      <c r="B37" s="205" t="s">
        <v>126</v>
      </c>
      <c r="C37" s="205" t="s">
        <v>127</v>
      </c>
      <c r="D37" s="205"/>
      <c r="E37" s="205">
        <v>8</v>
      </c>
      <c r="F37" s="205" t="s">
        <v>20</v>
      </c>
      <c r="G37" s="205" t="s">
        <v>128</v>
      </c>
    </row>
    <row r="38" spans="1:7">
      <c r="A38" s="205" t="s">
        <v>129</v>
      </c>
      <c r="B38" s="205" t="s">
        <v>130</v>
      </c>
      <c r="C38" s="205"/>
      <c r="D38" s="205"/>
      <c r="E38" s="205">
        <v>8</v>
      </c>
      <c r="F38" s="205" t="s">
        <v>20</v>
      </c>
      <c r="G38" s="205" t="s">
        <v>128</v>
      </c>
    </row>
    <row r="39" spans="1:7">
      <c r="A39" s="437" t="s">
        <v>131</v>
      </c>
      <c r="B39" s="437" t="s">
        <v>132</v>
      </c>
      <c r="C39" s="437" t="s">
        <v>133</v>
      </c>
      <c r="D39" s="437"/>
      <c r="E39" s="437">
        <v>8</v>
      </c>
      <c r="F39" s="437" t="s">
        <v>20</v>
      </c>
      <c r="G39" s="437" t="s">
        <v>134</v>
      </c>
    </row>
    <row r="40" spans="1:7">
      <c r="A40" s="437" t="s">
        <v>135</v>
      </c>
      <c r="B40" s="437" t="s">
        <v>136</v>
      </c>
      <c r="C40" s="437" t="s">
        <v>137</v>
      </c>
      <c r="D40" s="437"/>
      <c r="E40" s="437"/>
      <c r="F40" s="437"/>
      <c r="G40" s="437" t="s">
        <v>134</v>
      </c>
    </row>
    <row r="41" spans="1:7">
      <c r="A41" s="437" t="s">
        <v>138</v>
      </c>
      <c r="B41" s="437" t="s">
        <v>139</v>
      </c>
      <c r="C41" s="437" t="s">
        <v>140</v>
      </c>
      <c r="D41" s="437"/>
      <c r="E41" s="437"/>
      <c r="F41" s="437"/>
      <c r="G41" s="437" t="s">
        <v>134</v>
      </c>
    </row>
    <row r="42" spans="1:7">
      <c r="A42" s="437" t="s">
        <v>141</v>
      </c>
      <c r="B42" s="437" t="s">
        <v>142</v>
      </c>
      <c r="C42" s="437" t="s">
        <v>143</v>
      </c>
      <c r="D42" s="437"/>
      <c r="E42" s="437">
        <v>8</v>
      </c>
      <c r="F42" s="437" t="s">
        <v>20</v>
      </c>
      <c r="G42" s="437" t="s">
        <v>134</v>
      </c>
    </row>
    <row r="43" spans="1:7">
      <c r="A43" s="437" t="s">
        <v>144</v>
      </c>
      <c r="B43" s="437" t="s">
        <v>145</v>
      </c>
      <c r="C43" s="437" t="s">
        <v>146</v>
      </c>
      <c r="D43" s="437"/>
      <c r="E43" s="437">
        <v>8</v>
      </c>
      <c r="F43" s="437" t="s">
        <v>20</v>
      </c>
      <c r="G43" s="437" t="s">
        <v>134</v>
      </c>
    </row>
    <row r="44" spans="1:7">
      <c r="A44" s="437" t="s">
        <v>147</v>
      </c>
      <c r="B44" s="437" t="s">
        <v>148</v>
      </c>
      <c r="C44" s="437"/>
      <c r="D44" s="437"/>
      <c r="E44" s="437"/>
      <c r="F44" s="437"/>
      <c r="G44" s="437" t="s">
        <v>134</v>
      </c>
    </row>
    <row r="45" spans="1:7">
      <c r="A45" s="437" t="s">
        <v>149</v>
      </c>
      <c r="B45" s="437" t="s">
        <v>150</v>
      </c>
      <c r="C45" s="437"/>
      <c r="D45" s="437"/>
      <c r="E45" s="437"/>
      <c r="F45" s="437"/>
      <c r="G45" s="437" t="s">
        <v>134</v>
      </c>
    </row>
    <row r="46" spans="1:7">
      <c r="A46" s="258" t="s">
        <v>151</v>
      </c>
      <c r="B46" s="86" t="s">
        <v>152</v>
      </c>
      <c r="C46" s="86" t="s">
        <v>153</v>
      </c>
      <c r="G46" s="437" t="s">
        <v>134</v>
      </c>
    </row>
    <row r="47" spans="1:7">
      <c r="A47" s="438" t="s">
        <v>154</v>
      </c>
      <c r="B47" s="86" t="s">
        <v>155</v>
      </c>
      <c r="C47" s="86" t="s">
        <v>34</v>
      </c>
      <c r="G47" s="205" t="s">
        <v>134</v>
      </c>
    </row>
    <row r="48" spans="1:7">
      <c r="A48" s="205" t="s">
        <v>156</v>
      </c>
      <c r="B48" s="205" t="s">
        <v>157</v>
      </c>
      <c r="C48" s="205" t="s">
        <v>158</v>
      </c>
      <c r="D48" s="205"/>
      <c r="E48" s="205">
        <v>8</v>
      </c>
      <c r="F48" s="205" t="s">
        <v>20</v>
      </c>
      <c r="G48" s="205" t="s">
        <v>159</v>
      </c>
    </row>
    <row r="49" spans="1:7">
      <c r="A49" s="205" t="s">
        <v>160</v>
      </c>
      <c r="B49" s="205" t="s">
        <v>161</v>
      </c>
      <c r="C49" s="205" t="s">
        <v>162</v>
      </c>
      <c r="D49" s="205"/>
      <c r="E49" s="205">
        <v>8</v>
      </c>
      <c r="F49" s="205" t="s">
        <v>20</v>
      </c>
      <c r="G49" s="205" t="s">
        <v>159</v>
      </c>
    </row>
    <row r="50" spans="1:7">
      <c r="A50" s="205" t="s">
        <v>163</v>
      </c>
      <c r="B50" s="205" t="s">
        <v>164</v>
      </c>
      <c r="C50" s="205" t="s">
        <v>146</v>
      </c>
      <c r="D50" s="205"/>
      <c r="E50" s="205">
        <v>8</v>
      </c>
      <c r="F50" s="205" t="s">
        <v>20</v>
      </c>
      <c r="G50" s="205" t="s">
        <v>159</v>
      </c>
    </row>
    <row r="51" spans="1:7">
      <c r="A51" s="86" t="s">
        <v>165</v>
      </c>
      <c r="B51" s="86" t="s">
        <v>166</v>
      </c>
      <c r="C51" s="86" t="s">
        <v>167</v>
      </c>
      <c r="G51" s="205" t="s">
        <v>159</v>
      </c>
    </row>
    <row r="52" spans="1:7">
      <c r="A52" s="86" t="s">
        <v>168</v>
      </c>
      <c r="B52" s="86" t="s">
        <v>169</v>
      </c>
      <c r="C52" s="86" t="s">
        <v>170</v>
      </c>
      <c r="G52" s="205" t="s">
        <v>159</v>
      </c>
    </row>
  </sheetData>
  <autoFilter ref="A1:G34" xr:uid="{A85A0CB4-1EEF-4385-8C82-C9294C9F386F}"/>
  <phoneticPr fontId="2" type="noConversion"/>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4B92E-A02E-4985-8F2A-BCDD8F0E88C1}">
  <dimension ref="A1:AA118"/>
  <sheetViews>
    <sheetView showGridLines="0" tabSelected="1" topLeftCell="A101" workbookViewId="0">
      <selection activeCell="G104" sqref="G104"/>
    </sheetView>
  </sheetViews>
  <sheetFormatPr defaultRowHeight="15"/>
  <cols>
    <col min="2" max="2" width="16.28515625" customWidth="1"/>
    <col min="3" max="3" width="13.42578125" customWidth="1"/>
    <col min="5" max="5" width="49.5703125" customWidth="1"/>
    <col min="6" max="6" width="30.28515625" style="1" customWidth="1"/>
    <col min="7" max="7" width="29.85546875" style="1" bestFit="1" customWidth="1"/>
    <col min="8" max="8" width="10.5703125" style="1" customWidth="1"/>
    <col min="9" max="9" width="21.85546875" customWidth="1"/>
    <col min="11" max="11" width="13.7109375" style="1" customWidth="1"/>
    <col min="12" max="12" width="9.140625" style="44"/>
    <col min="13" max="13" width="12.140625" style="18" customWidth="1"/>
  </cols>
  <sheetData>
    <row r="1" spans="1:27" ht="24.75">
      <c r="A1" s="3" t="s">
        <v>171</v>
      </c>
      <c r="B1" s="3" t="s">
        <v>1</v>
      </c>
      <c r="C1" s="3" t="s">
        <v>172</v>
      </c>
      <c r="D1" s="3" t="s">
        <v>173</v>
      </c>
      <c r="E1" s="3" t="s">
        <v>174</v>
      </c>
      <c r="F1" s="4" t="s">
        <v>175</v>
      </c>
      <c r="G1" s="3" t="s">
        <v>176</v>
      </c>
      <c r="H1" s="4" t="s">
        <v>177</v>
      </c>
      <c r="I1" s="3" t="s">
        <v>178</v>
      </c>
      <c r="J1" s="4" t="s">
        <v>179</v>
      </c>
      <c r="K1" s="4" t="s">
        <v>180</v>
      </c>
      <c r="L1" s="3" t="s">
        <v>181</v>
      </c>
      <c r="M1" s="3" t="s">
        <v>182</v>
      </c>
      <c r="N1" s="41" t="s">
        <v>3</v>
      </c>
      <c r="O1" s="5"/>
      <c r="P1" s="5"/>
      <c r="Q1" s="5"/>
      <c r="R1" s="5"/>
      <c r="S1" s="5"/>
      <c r="T1" s="5"/>
      <c r="U1" s="5"/>
      <c r="V1" s="5"/>
      <c r="W1" s="5"/>
      <c r="X1" s="5"/>
      <c r="Y1" s="5"/>
      <c r="Z1" s="5"/>
      <c r="AA1" s="2"/>
    </row>
    <row r="2" spans="1:27" ht="15" customHeight="1">
      <c r="A2" s="549" t="s">
        <v>7</v>
      </c>
      <c r="B2" s="550" t="s">
        <v>8</v>
      </c>
      <c r="C2" s="557" t="s">
        <v>183</v>
      </c>
      <c r="D2" s="6" t="s">
        <v>184</v>
      </c>
      <c r="E2" s="7" t="s">
        <v>185</v>
      </c>
      <c r="F2" s="10"/>
      <c r="G2" s="21" t="s">
        <v>186</v>
      </c>
      <c r="H2" s="175" t="s">
        <v>187</v>
      </c>
      <c r="I2" s="9" t="s">
        <v>188</v>
      </c>
      <c r="J2" s="10" t="s">
        <v>187</v>
      </c>
      <c r="K2" s="105" t="s">
        <v>189</v>
      </c>
      <c r="L2" s="45">
        <v>1.0497685185185186E-2</v>
      </c>
      <c r="M2" s="559" t="str">
        <f>VLOOKUP(A2,Geral!$A$1:$D$36,3,FALSE)</f>
        <v>Marcelo Garcia Manzato</v>
      </c>
    </row>
    <row r="3" spans="1:27">
      <c r="A3" s="549"/>
      <c r="B3" s="550"/>
      <c r="C3" s="558"/>
      <c r="D3" s="6" t="s">
        <v>190</v>
      </c>
      <c r="E3" s="9" t="s">
        <v>191</v>
      </c>
      <c r="F3" s="10"/>
      <c r="G3" s="21" t="s">
        <v>192</v>
      </c>
      <c r="H3" s="175" t="s">
        <v>187</v>
      </c>
      <c r="I3" s="9" t="s">
        <v>188</v>
      </c>
      <c r="J3" s="10" t="s">
        <v>187</v>
      </c>
      <c r="K3" s="105" t="s">
        <v>193</v>
      </c>
      <c r="L3" s="45">
        <v>1.1759259259259259E-2</v>
      </c>
      <c r="M3" s="560"/>
    </row>
    <row r="4" spans="1:27">
      <c r="A4" s="549"/>
      <c r="B4" s="550"/>
      <c r="C4" s="557" t="s">
        <v>194</v>
      </c>
      <c r="D4" s="6" t="s">
        <v>195</v>
      </c>
      <c r="E4" s="9" t="s">
        <v>196</v>
      </c>
      <c r="F4" s="10"/>
      <c r="G4" s="21" t="s">
        <v>197</v>
      </c>
      <c r="H4" s="175" t="s">
        <v>187</v>
      </c>
      <c r="I4" s="9" t="s">
        <v>188</v>
      </c>
      <c r="J4" s="10" t="s">
        <v>187</v>
      </c>
      <c r="K4" s="105" t="s">
        <v>198</v>
      </c>
      <c r="L4" s="45">
        <v>1.4050925925925927E-2</v>
      </c>
      <c r="M4" s="560"/>
    </row>
    <row r="5" spans="1:27" ht="15" customHeight="1">
      <c r="A5" s="549"/>
      <c r="B5" s="550"/>
      <c r="C5" s="558"/>
      <c r="D5" s="6" t="s">
        <v>199</v>
      </c>
      <c r="E5" s="9" t="s">
        <v>200</v>
      </c>
      <c r="F5" s="10"/>
      <c r="G5" s="21" t="s">
        <v>201</v>
      </c>
      <c r="H5" s="175" t="s">
        <v>187</v>
      </c>
      <c r="I5" s="9" t="s">
        <v>188</v>
      </c>
      <c r="J5" s="10" t="s">
        <v>187</v>
      </c>
      <c r="K5" s="105" t="s">
        <v>202</v>
      </c>
      <c r="L5" s="45">
        <v>1.3506944444444445E-2</v>
      </c>
      <c r="M5" s="560"/>
    </row>
    <row r="6" spans="1:27">
      <c r="A6" s="549"/>
      <c r="B6" s="550"/>
      <c r="C6" s="557" t="s">
        <v>203</v>
      </c>
      <c r="D6" s="6" t="s">
        <v>204</v>
      </c>
      <c r="E6" s="7" t="s">
        <v>205</v>
      </c>
      <c r="F6" s="10"/>
      <c r="G6" s="21" t="s">
        <v>206</v>
      </c>
      <c r="H6" s="175" t="s">
        <v>187</v>
      </c>
      <c r="I6" s="9" t="s">
        <v>188</v>
      </c>
      <c r="J6" s="10" t="s">
        <v>187</v>
      </c>
      <c r="K6" s="105" t="s">
        <v>207</v>
      </c>
      <c r="L6" s="45">
        <v>1.1851851851851851E-2</v>
      </c>
      <c r="M6" s="560"/>
    </row>
    <row r="7" spans="1:27" ht="15" customHeight="1">
      <c r="A7" s="549"/>
      <c r="B7" s="550"/>
      <c r="C7" s="558"/>
      <c r="D7" s="6" t="s">
        <v>208</v>
      </c>
      <c r="E7" s="7" t="s">
        <v>209</v>
      </c>
      <c r="F7" s="10"/>
      <c r="G7" s="21" t="s">
        <v>210</v>
      </c>
      <c r="H7" s="175" t="s">
        <v>187</v>
      </c>
      <c r="I7" s="9" t="s">
        <v>188</v>
      </c>
      <c r="J7" s="10" t="s">
        <v>187</v>
      </c>
      <c r="K7" s="105" t="s">
        <v>211</v>
      </c>
      <c r="L7" s="45">
        <v>1.2141203703703704E-2</v>
      </c>
      <c r="M7" s="560"/>
    </row>
    <row r="8" spans="1:27">
      <c r="A8" s="549"/>
      <c r="B8" s="550"/>
      <c r="C8" s="127" t="s">
        <v>212</v>
      </c>
      <c r="D8" s="6" t="s">
        <v>213</v>
      </c>
      <c r="E8" s="9" t="s">
        <v>214</v>
      </c>
      <c r="F8" s="10"/>
      <c r="G8" s="21" t="s">
        <v>215</v>
      </c>
      <c r="H8" s="175" t="s">
        <v>187</v>
      </c>
      <c r="I8" s="9" t="s">
        <v>188</v>
      </c>
      <c r="J8" s="10" t="s">
        <v>187</v>
      </c>
      <c r="K8" s="105" t="s">
        <v>216</v>
      </c>
      <c r="L8" s="45">
        <v>1.3993055555555555E-2</v>
      </c>
      <c r="M8" s="561"/>
    </row>
    <row r="9" spans="1:27" s="18" customFormat="1" ht="12.75" customHeight="1">
      <c r="A9" s="13"/>
      <c r="B9" s="14"/>
      <c r="C9" s="15"/>
      <c r="D9" s="15"/>
      <c r="E9" s="16"/>
      <c r="F9" s="15"/>
      <c r="G9" s="17"/>
      <c r="H9" s="15"/>
      <c r="I9" s="15"/>
      <c r="J9" s="16"/>
      <c r="K9" s="16"/>
      <c r="L9" s="16"/>
      <c r="M9" s="16"/>
      <c r="N9"/>
    </row>
    <row r="10" spans="1:27" s="18" customFormat="1" ht="12.75" customHeight="1">
      <c r="A10" s="551" t="s">
        <v>13</v>
      </c>
      <c r="B10" s="554" t="s">
        <v>14</v>
      </c>
      <c r="C10" s="557" t="s">
        <v>183</v>
      </c>
      <c r="D10" s="6" t="s">
        <v>217</v>
      </c>
      <c r="E10" s="7" t="s">
        <v>185</v>
      </c>
      <c r="F10" s="10"/>
      <c r="G10" s="96" t="s">
        <v>218</v>
      </c>
      <c r="H10" s="175" t="s">
        <v>187</v>
      </c>
      <c r="I10" s="9" t="s">
        <v>188</v>
      </c>
      <c r="J10" s="10" t="s">
        <v>187</v>
      </c>
      <c r="K10" s="105" t="s">
        <v>219</v>
      </c>
      <c r="L10" s="51">
        <v>1.8518518518518517E-3</v>
      </c>
      <c r="M10" s="16"/>
      <c r="N10"/>
    </row>
    <row r="11" spans="1:27">
      <c r="A11" s="552"/>
      <c r="B11" s="555"/>
      <c r="C11" s="558"/>
      <c r="D11" s="6" t="s">
        <v>184</v>
      </c>
      <c r="E11" s="9" t="s">
        <v>220</v>
      </c>
      <c r="F11" s="10"/>
      <c r="G11" s="21" t="s">
        <v>221</v>
      </c>
      <c r="H11" s="175" t="s">
        <v>187</v>
      </c>
      <c r="I11" s="9" t="s">
        <v>188</v>
      </c>
      <c r="J11" s="10" t="s">
        <v>187</v>
      </c>
      <c r="K11" s="106" t="s">
        <v>222</v>
      </c>
      <c r="L11" s="51">
        <v>1.2326388888888888E-2</v>
      </c>
      <c r="M11" s="547" t="str">
        <f>VLOOKUP(A10,Geral!$A$1:$D$36,3,FALSE)</f>
        <v>Antonio Francisco Savi</v>
      </c>
    </row>
    <row r="12" spans="1:27" ht="30.75">
      <c r="A12" s="552"/>
      <c r="B12" s="555"/>
      <c r="C12" s="12" t="s">
        <v>223</v>
      </c>
      <c r="D12" s="6" t="s">
        <v>190</v>
      </c>
      <c r="E12" s="11" t="s">
        <v>224</v>
      </c>
      <c r="F12" s="10"/>
      <c r="G12" s="96" t="s">
        <v>225</v>
      </c>
      <c r="H12" s="175" t="s">
        <v>187</v>
      </c>
      <c r="I12" s="9" t="s">
        <v>188</v>
      </c>
      <c r="J12" s="10" t="s">
        <v>187</v>
      </c>
      <c r="K12" s="107" t="s">
        <v>226</v>
      </c>
      <c r="L12" s="51">
        <v>9.2361111111111116E-3</v>
      </c>
      <c r="M12" s="547"/>
    </row>
    <row r="13" spans="1:27">
      <c r="A13" s="552"/>
      <c r="B13" s="555"/>
      <c r="C13" s="12" t="s">
        <v>194</v>
      </c>
      <c r="D13" s="6" t="s">
        <v>195</v>
      </c>
      <c r="E13" s="9" t="s">
        <v>227</v>
      </c>
      <c r="F13" s="10"/>
      <c r="G13" s="21" t="s">
        <v>228</v>
      </c>
      <c r="H13" s="175" t="s">
        <v>187</v>
      </c>
      <c r="I13" s="9" t="s">
        <v>188</v>
      </c>
      <c r="J13" s="10" t="s">
        <v>187</v>
      </c>
      <c r="K13" s="106" t="s">
        <v>229</v>
      </c>
      <c r="L13" s="51">
        <v>1.1759259259259259E-2</v>
      </c>
      <c r="M13" s="547"/>
    </row>
    <row r="14" spans="1:27">
      <c r="A14" s="552"/>
      <c r="B14" s="555"/>
      <c r="C14" s="12" t="s">
        <v>203</v>
      </c>
      <c r="D14" s="6" t="s">
        <v>199</v>
      </c>
      <c r="E14" s="8" t="s">
        <v>230</v>
      </c>
      <c r="F14" s="10"/>
      <c r="G14" s="21" t="s">
        <v>231</v>
      </c>
      <c r="H14" s="175" t="s">
        <v>187</v>
      </c>
      <c r="I14" s="9" t="s">
        <v>188</v>
      </c>
      <c r="J14" s="10" t="s">
        <v>187</v>
      </c>
      <c r="K14" s="106" t="s">
        <v>232</v>
      </c>
      <c r="L14" s="51">
        <v>9.4560185185185181E-3</v>
      </c>
      <c r="M14" s="547"/>
    </row>
    <row r="15" spans="1:27">
      <c r="A15" s="552"/>
      <c r="B15" s="555"/>
      <c r="C15" s="12" t="s">
        <v>233</v>
      </c>
      <c r="D15" s="6" t="s">
        <v>204</v>
      </c>
      <c r="E15" s="7" t="s">
        <v>234</v>
      </c>
      <c r="F15" s="10"/>
      <c r="G15" s="21" t="s">
        <v>235</v>
      </c>
      <c r="H15" s="175" t="s">
        <v>187</v>
      </c>
      <c r="I15" s="9" t="s">
        <v>188</v>
      </c>
      <c r="J15" s="10" t="s">
        <v>187</v>
      </c>
      <c r="K15" s="106" t="s">
        <v>236</v>
      </c>
      <c r="L15" s="51">
        <v>9.571759259259259E-3</v>
      </c>
      <c r="M15" s="547"/>
    </row>
    <row r="16" spans="1:27">
      <c r="A16" s="552"/>
      <c r="B16" s="555"/>
      <c r="C16" s="12" t="s">
        <v>212</v>
      </c>
      <c r="D16" s="6" t="s">
        <v>208</v>
      </c>
      <c r="E16" s="11" t="s">
        <v>237</v>
      </c>
      <c r="F16" s="10"/>
      <c r="G16" s="21" t="s">
        <v>238</v>
      </c>
      <c r="H16" s="175" t="s">
        <v>187</v>
      </c>
      <c r="I16" s="9" t="s">
        <v>188</v>
      </c>
      <c r="J16" s="10" t="s">
        <v>187</v>
      </c>
      <c r="K16" s="106" t="s">
        <v>239</v>
      </c>
      <c r="L16" s="51">
        <v>8.8888888888888889E-3</v>
      </c>
      <c r="M16" s="547"/>
    </row>
    <row r="17" spans="1:13">
      <c r="A17" s="553"/>
      <c r="B17" s="556"/>
      <c r="C17" s="12" t="s">
        <v>240</v>
      </c>
      <c r="D17" s="6" t="s">
        <v>213</v>
      </c>
      <c r="E17" s="7" t="s">
        <v>241</v>
      </c>
      <c r="F17" s="10"/>
      <c r="G17" s="21" t="s">
        <v>242</v>
      </c>
      <c r="H17" s="175" t="s">
        <v>187</v>
      </c>
      <c r="I17" s="9" t="s">
        <v>188</v>
      </c>
      <c r="J17" s="10" t="s">
        <v>187</v>
      </c>
      <c r="K17" s="105" t="s">
        <v>243</v>
      </c>
      <c r="L17" s="95">
        <v>8.8773148148148153E-3</v>
      </c>
      <c r="M17" s="547"/>
    </row>
    <row r="18" spans="1:13">
      <c r="A18" s="13"/>
      <c r="B18" s="14"/>
      <c r="C18" s="15"/>
      <c r="D18" s="15"/>
      <c r="E18" s="16"/>
      <c r="F18" s="15"/>
      <c r="G18" s="17"/>
      <c r="H18" s="15"/>
      <c r="I18" s="15"/>
      <c r="J18" s="16"/>
      <c r="K18" s="16"/>
      <c r="L18" s="16"/>
      <c r="M18" s="16"/>
    </row>
    <row r="19" spans="1:13">
      <c r="A19" s="538" t="s">
        <v>16</v>
      </c>
      <c r="B19" s="546" t="s">
        <v>244</v>
      </c>
      <c r="C19" s="532" t="s">
        <v>245</v>
      </c>
      <c r="D19" s="22" t="s">
        <v>184</v>
      </c>
      <c r="E19" s="46" t="s">
        <v>246</v>
      </c>
      <c r="F19" s="63"/>
      <c r="G19" s="97" t="s">
        <v>247</v>
      </c>
      <c r="H19" s="176" t="s">
        <v>248</v>
      </c>
      <c r="I19" s="9" t="s">
        <v>188</v>
      </c>
      <c r="J19" s="10" t="s">
        <v>187</v>
      </c>
      <c r="K19" s="10" t="s">
        <v>249</v>
      </c>
      <c r="L19" s="50">
        <v>1.3645833333333331E-2</v>
      </c>
      <c r="M19" s="547" t="str">
        <f>VLOOKUP(A19,Geral!$A$1:$D$36,3,FALSE)</f>
        <v>Bruna Liria Avelhan</v>
      </c>
    </row>
    <row r="20" spans="1:13" ht="30.75">
      <c r="A20" s="538"/>
      <c r="B20" s="546"/>
      <c r="C20" s="532"/>
      <c r="D20" s="22" t="s">
        <v>190</v>
      </c>
      <c r="E20" s="46" t="s">
        <v>250</v>
      </c>
      <c r="F20" s="63"/>
      <c r="G20" s="97" t="s">
        <v>251</v>
      </c>
      <c r="H20" s="176" t="s">
        <v>248</v>
      </c>
      <c r="I20" s="9" t="s">
        <v>188</v>
      </c>
      <c r="J20" s="10" t="s">
        <v>187</v>
      </c>
      <c r="K20" s="104" t="s">
        <v>252</v>
      </c>
      <c r="L20" s="50">
        <v>1.2673611111111109E-2</v>
      </c>
      <c r="M20" s="547"/>
    </row>
    <row r="21" spans="1:13">
      <c r="A21" s="538"/>
      <c r="B21" s="546"/>
      <c r="C21" s="532"/>
      <c r="D21" s="22" t="s">
        <v>195</v>
      </c>
      <c r="E21" s="46" t="s">
        <v>253</v>
      </c>
      <c r="F21" s="63"/>
      <c r="G21" s="97" t="s">
        <v>254</v>
      </c>
      <c r="H21" s="176" t="s">
        <v>248</v>
      </c>
      <c r="I21" s="9" t="s">
        <v>188</v>
      </c>
      <c r="J21" s="47" t="s">
        <v>187</v>
      </c>
      <c r="K21" s="108" t="s">
        <v>255</v>
      </c>
      <c r="L21" s="50">
        <v>1.4594907407407405E-2</v>
      </c>
      <c r="M21" s="547"/>
    </row>
    <row r="22" spans="1:13">
      <c r="A22" s="538"/>
      <c r="B22" s="546"/>
      <c r="C22" s="532" t="s">
        <v>256</v>
      </c>
      <c r="D22" s="22" t="s">
        <v>199</v>
      </c>
      <c r="E22" s="46" t="s">
        <v>257</v>
      </c>
      <c r="F22" s="74"/>
      <c r="G22" s="97" t="s">
        <v>258</v>
      </c>
      <c r="H22" s="176" t="s">
        <v>248</v>
      </c>
      <c r="I22" s="9" t="s">
        <v>188</v>
      </c>
      <c r="J22" s="48" t="s">
        <v>187</v>
      </c>
      <c r="K22" s="108" t="s">
        <v>259</v>
      </c>
      <c r="L22" s="50">
        <v>1.4097222222222221E-2</v>
      </c>
      <c r="M22" s="547"/>
    </row>
    <row r="23" spans="1:13">
      <c r="A23" s="538"/>
      <c r="B23" s="546"/>
      <c r="C23" s="532"/>
      <c r="D23" s="22" t="s">
        <v>204</v>
      </c>
      <c r="E23" s="46" t="s">
        <v>260</v>
      </c>
      <c r="F23" s="74"/>
      <c r="G23" s="96" t="s">
        <v>261</v>
      </c>
      <c r="H23" s="176" t="s">
        <v>248</v>
      </c>
      <c r="I23" s="9" t="s">
        <v>188</v>
      </c>
      <c r="J23" s="48" t="s">
        <v>187</v>
      </c>
      <c r="K23" s="108" t="s">
        <v>262</v>
      </c>
      <c r="L23" s="80">
        <v>1.4016203703703704E-2</v>
      </c>
      <c r="M23" s="547"/>
    </row>
    <row r="24" spans="1:13">
      <c r="A24" s="538"/>
      <c r="B24" s="546"/>
      <c r="C24" s="532"/>
      <c r="D24" s="22" t="s">
        <v>208</v>
      </c>
      <c r="E24" s="46" t="s">
        <v>263</v>
      </c>
      <c r="F24" s="74"/>
      <c r="G24" s="97" t="s">
        <v>264</v>
      </c>
      <c r="H24" s="176" t="s">
        <v>248</v>
      </c>
      <c r="I24" s="9" t="s">
        <v>188</v>
      </c>
      <c r="J24" s="49" t="s">
        <v>187</v>
      </c>
      <c r="K24" s="108" t="s">
        <v>265</v>
      </c>
      <c r="L24" s="50">
        <v>1.4108796296296295E-2</v>
      </c>
      <c r="M24" s="547"/>
    </row>
    <row r="25" spans="1:13">
      <c r="A25" s="538"/>
      <c r="B25" s="546"/>
      <c r="C25" s="532" t="s">
        <v>266</v>
      </c>
      <c r="D25" s="22" t="s">
        <v>213</v>
      </c>
      <c r="E25" s="46" t="s">
        <v>267</v>
      </c>
      <c r="F25" s="64"/>
      <c r="G25" s="97" t="s">
        <v>268</v>
      </c>
      <c r="H25" s="176" t="s">
        <v>248</v>
      </c>
      <c r="I25" s="9" t="s">
        <v>188</v>
      </c>
      <c r="J25" s="49" t="s">
        <v>187</v>
      </c>
      <c r="K25" s="108" t="s">
        <v>269</v>
      </c>
      <c r="L25" s="50">
        <v>1.511574074074074E-2</v>
      </c>
      <c r="M25" s="547"/>
    </row>
    <row r="26" spans="1:13">
      <c r="A26" s="538"/>
      <c r="B26" s="546"/>
      <c r="C26" s="532"/>
      <c r="D26" s="22" t="s">
        <v>270</v>
      </c>
      <c r="E26" s="46" t="s">
        <v>271</v>
      </c>
      <c r="F26" s="64"/>
      <c r="G26" s="97" t="s">
        <v>272</v>
      </c>
      <c r="H26" s="176" t="s">
        <v>248</v>
      </c>
      <c r="I26" s="9" t="s">
        <v>188</v>
      </c>
      <c r="J26" s="49" t="s">
        <v>187</v>
      </c>
      <c r="K26" s="108" t="s">
        <v>273</v>
      </c>
      <c r="L26" s="50">
        <v>1.5289351851851851E-2</v>
      </c>
      <c r="M26" s="547"/>
    </row>
    <row r="27" spans="1:13">
      <c r="A27" s="538"/>
      <c r="B27" s="546"/>
      <c r="C27" s="532"/>
      <c r="D27" s="22" t="s">
        <v>274</v>
      </c>
      <c r="E27" s="46" t="s">
        <v>275</v>
      </c>
      <c r="F27" s="74"/>
      <c r="G27" s="97" t="s">
        <v>276</v>
      </c>
      <c r="H27" s="176" t="s">
        <v>248</v>
      </c>
      <c r="I27" s="9" t="s">
        <v>188</v>
      </c>
      <c r="J27" s="48" t="s">
        <v>187</v>
      </c>
      <c r="K27" s="108" t="s">
        <v>277</v>
      </c>
      <c r="L27" s="50">
        <v>1.3726851851851851E-2</v>
      </c>
      <c r="M27" s="547"/>
    </row>
    <row r="28" spans="1:13">
      <c r="A28" s="538"/>
      <c r="B28" s="546"/>
      <c r="C28" s="532" t="s">
        <v>278</v>
      </c>
      <c r="D28" s="22" t="s">
        <v>279</v>
      </c>
      <c r="E28" s="46" t="s">
        <v>280</v>
      </c>
      <c r="F28" s="74"/>
      <c r="G28" s="96" t="s">
        <v>281</v>
      </c>
      <c r="H28" s="176" t="s">
        <v>248</v>
      </c>
      <c r="I28" s="9" t="s">
        <v>188</v>
      </c>
      <c r="J28" s="48" t="s">
        <v>187</v>
      </c>
      <c r="K28" s="108" t="s">
        <v>282</v>
      </c>
      <c r="L28" s="50">
        <v>1.4560185185185183E-2</v>
      </c>
      <c r="M28" s="547"/>
    </row>
    <row r="29" spans="1:13">
      <c r="A29" s="538"/>
      <c r="B29" s="546"/>
      <c r="C29" s="532"/>
      <c r="D29" s="22" t="s">
        <v>283</v>
      </c>
      <c r="E29" s="46" t="s">
        <v>284</v>
      </c>
      <c r="F29" s="74"/>
      <c r="G29" s="97" t="s">
        <v>285</v>
      </c>
      <c r="H29" s="176" t="s">
        <v>248</v>
      </c>
      <c r="I29" s="9" t="s">
        <v>188</v>
      </c>
      <c r="J29" s="48" t="s">
        <v>187</v>
      </c>
      <c r="K29" s="108" t="s">
        <v>286</v>
      </c>
      <c r="L29" s="50">
        <v>1.2777777777777777E-2</v>
      </c>
      <c r="M29" s="547"/>
    </row>
    <row r="30" spans="1:13" s="18" customFormat="1" ht="30.75">
      <c r="A30" s="538"/>
      <c r="B30" s="546"/>
      <c r="C30" s="532"/>
      <c r="D30" s="22" t="s">
        <v>287</v>
      </c>
      <c r="E30" s="119" t="s">
        <v>288</v>
      </c>
      <c r="F30" s="64"/>
      <c r="G30" s="97" t="s">
        <v>289</v>
      </c>
      <c r="H30" s="176" t="s">
        <v>248</v>
      </c>
      <c r="I30" s="9" t="s">
        <v>188</v>
      </c>
      <c r="J30" s="48" t="s">
        <v>187</v>
      </c>
      <c r="K30" s="108" t="s">
        <v>290</v>
      </c>
      <c r="L30" s="129">
        <v>1.5879629629629629E-2</v>
      </c>
      <c r="M30" s="547"/>
    </row>
    <row r="31" spans="1:13">
      <c r="A31" s="538"/>
      <c r="B31" s="546"/>
      <c r="C31" s="532" t="s">
        <v>291</v>
      </c>
      <c r="D31" s="22" t="s">
        <v>292</v>
      </c>
      <c r="E31" s="46" t="s">
        <v>293</v>
      </c>
      <c r="F31" s="64" t="s">
        <v>294</v>
      </c>
      <c r="G31" s="98" t="s">
        <v>295</v>
      </c>
      <c r="H31" s="176" t="s">
        <v>248</v>
      </c>
      <c r="I31" s="9" t="s">
        <v>188</v>
      </c>
      <c r="J31" s="48" t="s">
        <v>187</v>
      </c>
      <c r="K31" s="105" t="s">
        <v>296</v>
      </c>
      <c r="L31" s="129">
        <v>1.5902777777777776E-2</v>
      </c>
      <c r="M31" s="547"/>
    </row>
    <row r="32" spans="1:13">
      <c r="A32" s="538"/>
      <c r="B32" s="546"/>
      <c r="C32" s="532"/>
      <c r="D32" s="22" t="s">
        <v>297</v>
      </c>
      <c r="E32" s="46" t="s">
        <v>298</v>
      </c>
      <c r="F32" s="74"/>
      <c r="G32" s="97" t="s">
        <v>299</v>
      </c>
      <c r="H32" s="176" t="s">
        <v>248</v>
      </c>
      <c r="I32" s="9" t="s">
        <v>188</v>
      </c>
      <c r="J32" s="28" t="s">
        <v>187</v>
      </c>
      <c r="K32" s="109" t="s">
        <v>300</v>
      </c>
      <c r="L32" s="129">
        <v>1.4756944444444446E-2</v>
      </c>
      <c r="M32" s="547"/>
    </row>
    <row r="33" spans="1:17">
      <c r="A33" s="538"/>
      <c r="B33" s="546"/>
      <c r="C33" s="534"/>
      <c r="D33" s="22" t="s">
        <v>301</v>
      </c>
      <c r="E33" s="46" t="s">
        <v>302</v>
      </c>
      <c r="F33" s="64" t="s">
        <v>294</v>
      </c>
      <c r="G33" s="97" t="s">
        <v>303</v>
      </c>
      <c r="H33" s="176" t="s">
        <v>248</v>
      </c>
      <c r="I33" s="9" t="s">
        <v>188</v>
      </c>
      <c r="J33" s="28" t="s">
        <v>187</v>
      </c>
      <c r="K33" s="110" t="s">
        <v>304</v>
      </c>
      <c r="L33" s="129">
        <v>1.3981481481481482E-2</v>
      </c>
      <c r="M33" s="547"/>
    </row>
    <row r="34" spans="1:17">
      <c r="A34" s="538"/>
      <c r="B34" s="546"/>
      <c r="C34" s="59" t="s">
        <v>305</v>
      </c>
      <c r="D34" s="22" t="s">
        <v>306</v>
      </c>
      <c r="E34" s="46" t="s">
        <v>307</v>
      </c>
      <c r="F34" s="75"/>
      <c r="G34" s="97" t="s">
        <v>308</v>
      </c>
      <c r="H34" s="176" t="s">
        <v>248</v>
      </c>
      <c r="I34" s="9" t="s">
        <v>188</v>
      </c>
      <c r="J34" s="28" t="s">
        <v>187</v>
      </c>
      <c r="K34" s="110" t="s">
        <v>309</v>
      </c>
      <c r="L34" s="129">
        <v>1.2233796296296296E-2</v>
      </c>
      <c r="M34" s="547"/>
    </row>
    <row r="35" spans="1:17">
      <c r="A35" s="13"/>
      <c r="B35" s="14"/>
      <c r="C35" s="15"/>
      <c r="D35" s="15"/>
      <c r="E35" s="15"/>
      <c r="F35" s="15"/>
      <c r="G35" s="17"/>
      <c r="H35" s="15"/>
      <c r="I35" s="15"/>
      <c r="J35" s="16"/>
      <c r="K35" s="16"/>
      <c r="L35" s="16"/>
      <c r="M35" s="15"/>
    </row>
    <row r="36" spans="1:17" ht="45.75" customHeight="1">
      <c r="A36" s="113"/>
      <c r="B36" s="563" t="s">
        <v>22</v>
      </c>
      <c r="C36" s="535" t="s">
        <v>245</v>
      </c>
      <c r="D36" s="19" t="s">
        <v>217</v>
      </c>
      <c r="E36" s="119" t="s">
        <v>185</v>
      </c>
      <c r="F36" s="115"/>
      <c r="G36" s="99" t="s">
        <v>310</v>
      </c>
      <c r="H36" s="21" t="s">
        <v>187</v>
      </c>
      <c r="I36" s="9" t="s">
        <v>188</v>
      </c>
      <c r="J36" s="10" t="s">
        <v>187</v>
      </c>
      <c r="K36" s="105" t="s">
        <v>311</v>
      </c>
      <c r="L36" s="81">
        <v>1.8171296296296297E-3</v>
      </c>
      <c r="M36" s="548" t="s">
        <v>312</v>
      </c>
    </row>
    <row r="37" spans="1:17">
      <c r="A37" s="114"/>
      <c r="B37" s="564"/>
      <c r="C37" s="536"/>
      <c r="D37" s="22" t="s">
        <v>184</v>
      </c>
      <c r="E37" s="126" t="s">
        <v>313</v>
      </c>
      <c r="F37" s="171" t="s">
        <v>314</v>
      </c>
      <c r="G37" s="99" t="s">
        <v>315</v>
      </c>
      <c r="H37" s="21" t="s">
        <v>187</v>
      </c>
      <c r="I37" s="9" t="s">
        <v>188</v>
      </c>
      <c r="J37" s="10" t="s">
        <v>187</v>
      </c>
      <c r="K37" s="105" t="s">
        <v>316</v>
      </c>
      <c r="L37" s="81">
        <v>1.5729166666666666E-2</v>
      </c>
      <c r="M37" s="543"/>
    </row>
    <row r="38" spans="1:17">
      <c r="A38" s="114"/>
      <c r="B38" s="564"/>
      <c r="C38" s="536"/>
      <c r="D38" s="22" t="s">
        <v>190</v>
      </c>
      <c r="E38" s="119" t="s">
        <v>317</v>
      </c>
      <c r="F38" s="172" t="s">
        <v>318</v>
      </c>
      <c r="G38" s="99" t="s">
        <v>319</v>
      </c>
      <c r="H38" s="21" t="s">
        <v>187</v>
      </c>
      <c r="I38" s="9" t="s">
        <v>188</v>
      </c>
      <c r="J38" s="10" t="s">
        <v>187</v>
      </c>
      <c r="K38" s="105" t="s">
        <v>320</v>
      </c>
      <c r="L38" s="81">
        <v>2.3969907407407409E-2</v>
      </c>
      <c r="M38" s="543"/>
      <c r="P38" s="562"/>
      <c r="Q38" s="562"/>
    </row>
    <row r="39" spans="1:17">
      <c r="A39" s="114"/>
      <c r="B39" s="564"/>
      <c r="C39" s="536" t="s">
        <v>256</v>
      </c>
      <c r="D39" s="22" t="s">
        <v>195</v>
      </c>
      <c r="E39" s="119" t="s">
        <v>321</v>
      </c>
      <c r="F39" s="172" t="s">
        <v>322</v>
      </c>
      <c r="G39" s="99" t="s">
        <v>323</v>
      </c>
      <c r="H39" s="21" t="s">
        <v>187</v>
      </c>
      <c r="I39" s="9" t="s">
        <v>188</v>
      </c>
      <c r="J39" s="10" t="s">
        <v>187</v>
      </c>
      <c r="K39" s="105" t="s">
        <v>324</v>
      </c>
      <c r="L39" s="81">
        <v>1.7106481481481483E-2</v>
      </c>
      <c r="M39" s="543"/>
    </row>
    <row r="40" spans="1:17" ht="30.75">
      <c r="A40" s="114"/>
      <c r="B40" s="564"/>
      <c r="C40" s="536"/>
      <c r="D40" s="19" t="s">
        <v>199</v>
      </c>
      <c r="E40" s="119" t="s">
        <v>325</v>
      </c>
      <c r="F40" s="173" t="s">
        <v>326</v>
      </c>
      <c r="G40" s="121" t="s">
        <v>327</v>
      </c>
      <c r="H40" s="21" t="s">
        <v>187</v>
      </c>
      <c r="I40" s="9" t="s">
        <v>188</v>
      </c>
      <c r="J40" s="28" t="s">
        <v>187</v>
      </c>
      <c r="K40" s="105" t="s">
        <v>328</v>
      </c>
      <c r="L40" s="81">
        <v>1.7731481481481483E-2</v>
      </c>
      <c r="M40" s="543"/>
    </row>
    <row r="41" spans="1:17">
      <c r="A41" s="114"/>
      <c r="B41" s="564"/>
      <c r="C41" s="536"/>
      <c r="D41" s="19" t="s">
        <v>204</v>
      </c>
      <c r="E41" s="133" t="s">
        <v>329</v>
      </c>
      <c r="F41" s="173" t="s">
        <v>330</v>
      </c>
      <c r="G41" s="99" t="s">
        <v>331</v>
      </c>
      <c r="H41" s="21" t="s">
        <v>187</v>
      </c>
      <c r="I41" s="9" t="s">
        <v>188</v>
      </c>
      <c r="J41" s="28" t="s">
        <v>187</v>
      </c>
      <c r="K41" s="125" t="s">
        <v>332</v>
      </c>
      <c r="L41" s="81">
        <v>1.4699074074074074E-2</v>
      </c>
      <c r="M41" s="543"/>
    </row>
    <row r="42" spans="1:17">
      <c r="A42" s="114"/>
      <c r="B42" s="564"/>
      <c r="C42" s="532" t="s">
        <v>266</v>
      </c>
      <c r="D42" s="19" t="s">
        <v>208</v>
      </c>
      <c r="E42" s="133" t="s">
        <v>333</v>
      </c>
      <c r="F42" s="173" t="s">
        <v>334</v>
      </c>
      <c r="G42" s="121" t="s">
        <v>335</v>
      </c>
      <c r="H42" s="21" t="s">
        <v>187</v>
      </c>
      <c r="I42" s="9" t="s">
        <v>188</v>
      </c>
      <c r="J42" s="29" t="s">
        <v>187</v>
      </c>
      <c r="K42" s="105" t="s">
        <v>336</v>
      </c>
      <c r="L42" s="81">
        <v>1.4560185185185183E-2</v>
      </c>
      <c r="M42" s="543"/>
    </row>
    <row r="43" spans="1:17">
      <c r="A43" s="113" t="s">
        <v>21</v>
      </c>
      <c r="B43" s="564"/>
      <c r="C43" s="532"/>
      <c r="D43" s="19" t="s">
        <v>213</v>
      </c>
      <c r="E43" s="119" t="s">
        <v>337</v>
      </c>
      <c r="F43" s="173" t="s">
        <v>338</v>
      </c>
      <c r="G43" s="99" t="s">
        <v>339</v>
      </c>
      <c r="H43" s="21" t="s">
        <v>187</v>
      </c>
      <c r="I43" s="9" t="s">
        <v>188</v>
      </c>
      <c r="J43" s="29" t="s">
        <v>187</v>
      </c>
      <c r="K43" s="111" t="s">
        <v>340</v>
      </c>
      <c r="L43" s="81">
        <v>1.681712962962963E-2</v>
      </c>
      <c r="M43" s="543"/>
    </row>
    <row r="44" spans="1:17">
      <c r="A44" s="114"/>
      <c r="B44" s="564"/>
      <c r="C44" s="532" t="s">
        <v>278</v>
      </c>
      <c r="D44" s="19" t="s">
        <v>270</v>
      </c>
      <c r="E44" s="119" t="s">
        <v>341</v>
      </c>
      <c r="F44" s="30" t="s">
        <v>342</v>
      </c>
      <c r="G44" s="99" t="s">
        <v>343</v>
      </c>
      <c r="H44" s="21" t="s">
        <v>187</v>
      </c>
      <c r="I44" s="9" t="s">
        <v>188</v>
      </c>
      <c r="J44" s="49" t="s">
        <v>187</v>
      </c>
      <c r="K44" s="130" t="s">
        <v>344</v>
      </c>
      <c r="L44" s="81">
        <v>1.315972222222222E-2</v>
      </c>
      <c r="M44" s="543"/>
    </row>
    <row r="45" spans="1:17">
      <c r="A45" s="114"/>
      <c r="B45" s="564"/>
      <c r="C45" s="532"/>
      <c r="D45" s="19" t="s">
        <v>274</v>
      </c>
      <c r="E45" s="134" t="s">
        <v>345</v>
      </c>
      <c r="F45" s="30" t="s">
        <v>346</v>
      </c>
      <c r="G45" s="99" t="s">
        <v>347</v>
      </c>
      <c r="H45" s="21" t="s">
        <v>187</v>
      </c>
      <c r="I45" s="9" t="s">
        <v>188</v>
      </c>
      <c r="J45" s="49" t="s">
        <v>187</v>
      </c>
      <c r="K45" s="131" t="s">
        <v>348</v>
      </c>
      <c r="L45" s="94">
        <v>1.5023148148148148E-2</v>
      </c>
      <c r="M45" s="543"/>
    </row>
    <row r="46" spans="1:17">
      <c r="A46" s="114"/>
      <c r="B46" s="564"/>
      <c r="C46" s="532" t="s">
        <v>291</v>
      </c>
      <c r="D46" s="19" t="s">
        <v>279</v>
      </c>
      <c r="E46" s="119" t="s">
        <v>349</v>
      </c>
      <c r="F46" s="30" t="s">
        <v>350</v>
      </c>
      <c r="G46" s="99" t="s">
        <v>351</v>
      </c>
      <c r="H46" s="21" t="s">
        <v>187</v>
      </c>
      <c r="I46" s="9" t="s">
        <v>188</v>
      </c>
      <c r="J46" s="49" t="s">
        <v>187</v>
      </c>
      <c r="K46" s="131" t="s">
        <v>352</v>
      </c>
      <c r="L46" s="94">
        <v>1.6631944444444446E-2</v>
      </c>
      <c r="M46" s="543"/>
    </row>
    <row r="47" spans="1:17">
      <c r="A47" s="114"/>
      <c r="B47" s="564"/>
      <c r="C47" s="532"/>
      <c r="D47" s="19" t="s">
        <v>283</v>
      </c>
      <c r="E47" s="30" t="s">
        <v>353</v>
      </c>
      <c r="F47" s="30" t="s">
        <v>354</v>
      </c>
      <c r="G47" s="99" t="s">
        <v>355</v>
      </c>
      <c r="H47" s="21" t="s">
        <v>187</v>
      </c>
      <c r="I47" s="9" t="s">
        <v>188</v>
      </c>
      <c r="J47" s="49" t="s">
        <v>187</v>
      </c>
      <c r="K47" s="131" t="s">
        <v>356</v>
      </c>
      <c r="L47" s="94">
        <v>1.5104166666666667E-2</v>
      </c>
      <c r="M47" s="543"/>
    </row>
    <row r="48" spans="1:17" ht="30.75">
      <c r="A48" s="114"/>
      <c r="B48" s="564"/>
      <c r="C48" s="532" t="s">
        <v>305</v>
      </c>
      <c r="D48" s="19" t="s">
        <v>287</v>
      </c>
      <c r="E48" s="31" t="s">
        <v>357</v>
      </c>
      <c r="F48" s="30" t="s">
        <v>358</v>
      </c>
      <c r="G48" s="99" t="s">
        <v>359</v>
      </c>
      <c r="H48" s="21" t="s">
        <v>187</v>
      </c>
      <c r="I48" s="9" t="s">
        <v>188</v>
      </c>
      <c r="J48" s="49" t="s">
        <v>187</v>
      </c>
      <c r="K48" s="130" t="s">
        <v>360</v>
      </c>
      <c r="L48" s="94">
        <v>1.5231481481481483E-2</v>
      </c>
      <c r="M48" s="543"/>
    </row>
    <row r="49" spans="1:13" ht="45.75">
      <c r="A49" s="114"/>
      <c r="B49" s="564"/>
      <c r="C49" s="532"/>
      <c r="D49" s="19" t="s">
        <v>292</v>
      </c>
      <c r="E49" s="137" t="s">
        <v>361</v>
      </c>
      <c r="F49" s="30" t="s">
        <v>362</v>
      </c>
      <c r="G49" s="99" t="s">
        <v>363</v>
      </c>
      <c r="H49" s="21" t="s">
        <v>187</v>
      </c>
      <c r="I49" s="9" t="s">
        <v>188</v>
      </c>
      <c r="J49" s="49" t="s">
        <v>187</v>
      </c>
      <c r="K49" s="130" t="s">
        <v>364</v>
      </c>
      <c r="L49" s="94">
        <v>1.2314814814814815E-2</v>
      </c>
      <c r="M49" s="543"/>
    </row>
    <row r="50" spans="1:13" ht="30.75">
      <c r="A50" s="114"/>
      <c r="B50" s="564"/>
      <c r="C50" s="532" t="s">
        <v>365</v>
      </c>
      <c r="D50" s="19" t="s">
        <v>297</v>
      </c>
      <c r="E50" s="31" t="s">
        <v>366</v>
      </c>
      <c r="F50" s="30" t="s">
        <v>367</v>
      </c>
      <c r="G50" s="99" t="s">
        <v>368</v>
      </c>
      <c r="H50" s="21" t="s">
        <v>187</v>
      </c>
      <c r="I50" s="9" t="s">
        <v>188</v>
      </c>
      <c r="J50" s="49" t="s">
        <v>187</v>
      </c>
      <c r="K50" s="131" t="s">
        <v>369</v>
      </c>
      <c r="L50" s="94">
        <v>1.4884259259259259E-2</v>
      </c>
      <c r="M50" s="543"/>
    </row>
    <row r="51" spans="1:13" ht="30.75">
      <c r="A51" s="114"/>
      <c r="B51" s="564"/>
      <c r="C51" s="532"/>
      <c r="D51" s="19" t="s">
        <v>301</v>
      </c>
      <c r="E51" s="31" t="s">
        <v>370</v>
      </c>
      <c r="F51" s="30" t="s">
        <v>371</v>
      </c>
      <c r="G51" s="99" t="s">
        <v>372</v>
      </c>
      <c r="H51" s="21" t="s">
        <v>187</v>
      </c>
      <c r="I51" s="9" t="s">
        <v>188</v>
      </c>
      <c r="J51" s="49" t="s">
        <v>187</v>
      </c>
      <c r="K51" s="131" t="s">
        <v>373</v>
      </c>
      <c r="L51" s="515">
        <v>1.4618055555555556E-2</v>
      </c>
      <c r="M51" s="543"/>
    </row>
    <row r="52" spans="1:13">
      <c r="A52" s="13"/>
      <c r="B52" s="14"/>
      <c r="C52" s="15"/>
      <c r="D52" s="15"/>
      <c r="E52" s="16"/>
      <c r="F52" s="15"/>
      <c r="G52" s="17"/>
      <c r="H52" s="15"/>
      <c r="I52" s="15"/>
      <c r="J52" s="16"/>
      <c r="K52" s="15"/>
      <c r="L52" s="16"/>
      <c r="M52" s="15"/>
    </row>
    <row r="53" spans="1:13">
      <c r="A53" s="537" t="s">
        <v>25</v>
      </c>
      <c r="B53" s="565" t="s">
        <v>26</v>
      </c>
      <c r="C53" s="533" t="s">
        <v>245</v>
      </c>
      <c r="D53" s="19" t="s">
        <v>217</v>
      </c>
      <c r="E53" s="120" t="s">
        <v>185</v>
      </c>
      <c r="F53" s="69"/>
      <c r="G53" s="97" t="s">
        <v>374</v>
      </c>
      <c r="H53" s="176" t="s">
        <v>187</v>
      </c>
      <c r="I53" s="9" t="s">
        <v>188</v>
      </c>
      <c r="J53" s="10" t="s">
        <v>187</v>
      </c>
      <c r="K53" s="111" t="s">
        <v>375</v>
      </c>
      <c r="L53" s="62">
        <v>3.3680555555555551E-3</v>
      </c>
      <c r="M53" s="548" t="str">
        <f>VLOOKUP(A53,Geral!$A$1:$D$36,3,FALSE)</f>
        <v>Antonio Francisco Savi</v>
      </c>
    </row>
    <row r="54" spans="1:13" ht="30.75">
      <c r="A54" s="538"/>
      <c r="B54" s="546"/>
      <c r="C54" s="532"/>
      <c r="D54" s="22" t="s">
        <v>184</v>
      </c>
      <c r="E54" s="133" t="s">
        <v>376</v>
      </c>
      <c r="F54" s="70"/>
      <c r="G54" s="103" t="s">
        <v>377</v>
      </c>
      <c r="H54" s="176" t="s">
        <v>187</v>
      </c>
      <c r="I54" s="9" t="s">
        <v>188</v>
      </c>
      <c r="J54" s="47" t="s">
        <v>187</v>
      </c>
      <c r="K54" s="514" t="s">
        <v>378</v>
      </c>
      <c r="L54" s="62">
        <v>1.5439814814814816E-2</v>
      </c>
      <c r="M54" s="543"/>
    </row>
    <row r="55" spans="1:13" ht="30.75">
      <c r="A55" s="538"/>
      <c r="B55" s="546"/>
      <c r="C55" s="532"/>
      <c r="D55" s="22" t="s">
        <v>190</v>
      </c>
      <c r="E55" s="52" t="s">
        <v>379</v>
      </c>
      <c r="F55" s="70"/>
      <c r="G55" s="97" t="s">
        <v>380</v>
      </c>
      <c r="H55" s="176" t="s">
        <v>187</v>
      </c>
      <c r="I55" s="9" t="s">
        <v>188</v>
      </c>
      <c r="J55" s="47" t="s">
        <v>187</v>
      </c>
      <c r="K55" s="514" t="s">
        <v>381</v>
      </c>
      <c r="L55" s="62">
        <v>9.4444444444444445E-3</v>
      </c>
      <c r="M55" s="543"/>
    </row>
    <row r="56" spans="1:13" ht="30.75">
      <c r="A56" s="538"/>
      <c r="B56" s="546"/>
      <c r="C56" s="532"/>
      <c r="D56" s="22" t="s">
        <v>195</v>
      </c>
      <c r="E56" s="54" t="s">
        <v>382</v>
      </c>
      <c r="F56" s="70"/>
      <c r="G56" s="97" t="s">
        <v>383</v>
      </c>
      <c r="H56" s="176" t="s">
        <v>187</v>
      </c>
      <c r="I56" s="9" t="s">
        <v>188</v>
      </c>
      <c r="J56" s="47" t="s">
        <v>187</v>
      </c>
      <c r="K56" s="514" t="s">
        <v>384</v>
      </c>
      <c r="L56" s="61">
        <v>9.1319444444444443E-3</v>
      </c>
      <c r="M56" s="543"/>
    </row>
    <row r="57" spans="1:13" ht="30.75">
      <c r="A57" s="538"/>
      <c r="B57" s="546"/>
      <c r="C57" s="532" t="s">
        <v>256</v>
      </c>
      <c r="D57" s="25" t="s">
        <v>199</v>
      </c>
      <c r="E57" s="135" t="s">
        <v>385</v>
      </c>
      <c r="F57" s="78"/>
      <c r="G57" s="97" t="s">
        <v>386</v>
      </c>
      <c r="H57" s="176" t="s">
        <v>187</v>
      </c>
      <c r="I57" s="9" t="s">
        <v>188</v>
      </c>
      <c r="J57" s="48" t="s">
        <v>187</v>
      </c>
      <c r="K57" s="105" t="s">
        <v>387</v>
      </c>
      <c r="L57" s="94">
        <v>1.5347222222222222E-2</v>
      </c>
      <c r="M57" s="543"/>
    </row>
    <row r="58" spans="1:13" ht="30.75">
      <c r="A58" s="538"/>
      <c r="B58" s="546"/>
      <c r="C58" s="532"/>
      <c r="D58" s="25" t="s">
        <v>204</v>
      </c>
      <c r="E58" s="54" t="s">
        <v>388</v>
      </c>
      <c r="F58" s="78"/>
      <c r="G58" s="97" t="s">
        <v>389</v>
      </c>
      <c r="H58" s="176" t="s">
        <v>187</v>
      </c>
      <c r="I58" s="9" t="s">
        <v>188</v>
      </c>
      <c r="J58" s="48" t="s">
        <v>187</v>
      </c>
      <c r="K58" s="514" t="s">
        <v>390</v>
      </c>
      <c r="L58" s="62">
        <v>8.9467592592592585E-3</v>
      </c>
      <c r="M58" s="543"/>
    </row>
    <row r="59" spans="1:13" ht="30.75">
      <c r="A59" s="538"/>
      <c r="B59" s="546"/>
      <c r="C59" s="532"/>
      <c r="D59" s="25" t="s">
        <v>208</v>
      </c>
      <c r="E59" s="54" t="s">
        <v>391</v>
      </c>
      <c r="F59" s="78"/>
      <c r="G59" s="97" t="s">
        <v>392</v>
      </c>
      <c r="H59" s="176" t="s">
        <v>187</v>
      </c>
      <c r="I59" s="9" t="s">
        <v>188</v>
      </c>
      <c r="J59" s="49" t="s">
        <v>187</v>
      </c>
      <c r="K59" s="403" t="s">
        <v>393</v>
      </c>
      <c r="L59" s="62">
        <v>1.0659722222222221E-2</v>
      </c>
      <c r="M59" s="543"/>
    </row>
    <row r="60" spans="1:13" ht="30.75">
      <c r="A60" s="538"/>
      <c r="B60" s="546"/>
      <c r="C60" s="532" t="s">
        <v>266</v>
      </c>
      <c r="D60" s="22" t="s">
        <v>213</v>
      </c>
      <c r="E60" s="54" t="s">
        <v>394</v>
      </c>
      <c r="F60" s="71"/>
      <c r="G60" s="97" t="s">
        <v>395</v>
      </c>
      <c r="H60" s="176" t="s">
        <v>187</v>
      </c>
      <c r="I60" s="9" t="s">
        <v>188</v>
      </c>
      <c r="J60" s="49" t="s">
        <v>187</v>
      </c>
      <c r="K60" s="514" t="s">
        <v>396</v>
      </c>
      <c r="L60" s="62">
        <v>1.2662037037037039E-2</v>
      </c>
      <c r="M60" s="543"/>
    </row>
    <row r="61" spans="1:13" ht="30.75">
      <c r="A61" s="538"/>
      <c r="B61" s="546"/>
      <c r="C61" s="532"/>
      <c r="D61" s="22" t="s">
        <v>270</v>
      </c>
      <c r="E61" s="54" t="s">
        <v>397</v>
      </c>
      <c r="F61" s="71" t="s">
        <v>398</v>
      </c>
      <c r="G61" s="97" t="s">
        <v>399</v>
      </c>
      <c r="H61" s="176" t="s">
        <v>187</v>
      </c>
      <c r="I61" s="9" t="s">
        <v>188</v>
      </c>
      <c r="J61" s="49" t="s">
        <v>187</v>
      </c>
      <c r="K61" s="514" t="s">
        <v>400</v>
      </c>
      <c r="L61" s="62">
        <v>1.105324074074074E-2</v>
      </c>
      <c r="M61" s="543"/>
    </row>
    <row r="62" spans="1:13" ht="30.75">
      <c r="A62" s="538"/>
      <c r="B62" s="546"/>
      <c r="C62" s="532"/>
      <c r="D62" s="22" t="s">
        <v>274</v>
      </c>
      <c r="E62" s="54" t="s">
        <v>401</v>
      </c>
      <c r="F62" s="78"/>
      <c r="G62" s="97" t="s">
        <v>402</v>
      </c>
      <c r="H62" s="176" t="s">
        <v>187</v>
      </c>
      <c r="I62" s="9" t="s">
        <v>188</v>
      </c>
      <c r="J62" s="48" t="s">
        <v>187</v>
      </c>
      <c r="K62" s="514" t="s">
        <v>403</v>
      </c>
      <c r="L62" s="62">
        <v>8.8310185185185176E-3</v>
      </c>
      <c r="M62" s="543"/>
    </row>
    <row r="63" spans="1:13" ht="30.75">
      <c r="A63" s="538"/>
      <c r="B63" s="546"/>
      <c r="C63" s="532" t="s">
        <v>278</v>
      </c>
      <c r="D63" s="25" t="s">
        <v>279</v>
      </c>
      <c r="E63" s="54" t="s">
        <v>404</v>
      </c>
      <c r="F63" s="78"/>
      <c r="G63" s="97" t="s">
        <v>405</v>
      </c>
      <c r="H63" s="176" t="s">
        <v>187</v>
      </c>
      <c r="I63" s="9" t="s">
        <v>188</v>
      </c>
      <c r="J63" s="48" t="s">
        <v>187</v>
      </c>
      <c r="K63" s="514" t="s">
        <v>406</v>
      </c>
      <c r="L63" s="62">
        <v>8.726851851851852E-3</v>
      </c>
      <c r="M63" s="543"/>
    </row>
    <row r="64" spans="1:13" ht="30.75">
      <c r="A64" s="538"/>
      <c r="B64" s="546"/>
      <c r="C64" s="532"/>
      <c r="D64" s="25" t="s">
        <v>283</v>
      </c>
      <c r="E64" s="54" t="s">
        <v>407</v>
      </c>
      <c r="F64" s="78"/>
      <c r="G64" s="100" t="s">
        <v>408</v>
      </c>
      <c r="H64" s="176" t="s">
        <v>187</v>
      </c>
      <c r="I64" s="9" t="s">
        <v>188</v>
      </c>
      <c r="J64" s="48" t="s">
        <v>187</v>
      </c>
      <c r="K64" s="514" t="s">
        <v>409</v>
      </c>
      <c r="L64" s="62">
        <v>1.1296296296296296E-2</v>
      </c>
      <c r="M64" s="543"/>
    </row>
    <row r="65" spans="1:13" ht="30.75">
      <c r="A65" s="538"/>
      <c r="B65" s="546"/>
      <c r="C65" s="532"/>
      <c r="D65" s="25" t="s">
        <v>287</v>
      </c>
      <c r="E65" s="54" t="s">
        <v>410</v>
      </c>
      <c r="F65" s="78"/>
      <c r="G65" s="100" t="s">
        <v>411</v>
      </c>
      <c r="H65" s="176" t="s">
        <v>187</v>
      </c>
      <c r="I65" s="9" t="s">
        <v>188</v>
      </c>
      <c r="J65" s="48" t="s">
        <v>187</v>
      </c>
      <c r="K65" s="514" t="s">
        <v>412</v>
      </c>
      <c r="L65" s="62">
        <v>8.7384259259259255E-3</v>
      </c>
      <c r="M65" s="543"/>
    </row>
    <row r="66" spans="1:13">
      <c r="A66" s="538"/>
      <c r="B66" s="546"/>
      <c r="C66" s="532" t="s">
        <v>291</v>
      </c>
      <c r="D66" s="22" t="s">
        <v>292</v>
      </c>
      <c r="E66" s="54" t="s">
        <v>413</v>
      </c>
      <c r="F66" s="78"/>
      <c r="G66" s="97" t="s">
        <v>414</v>
      </c>
      <c r="H66" s="176" t="s">
        <v>187</v>
      </c>
      <c r="I66" s="9" t="s">
        <v>188</v>
      </c>
      <c r="J66" s="48" t="s">
        <v>187</v>
      </c>
      <c r="K66" s="514" t="s">
        <v>415</v>
      </c>
      <c r="L66" s="62">
        <v>8.1481481481481474E-3</v>
      </c>
      <c r="M66" s="543"/>
    </row>
    <row r="67" spans="1:13" ht="30.75">
      <c r="A67" s="538"/>
      <c r="B67" s="546"/>
      <c r="C67" s="532"/>
      <c r="D67" s="22" t="s">
        <v>297</v>
      </c>
      <c r="E67" s="135" t="s">
        <v>416</v>
      </c>
      <c r="F67" s="71"/>
      <c r="G67" s="97" t="s">
        <v>417</v>
      </c>
      <c r="H67" s="176" t="s">
        <v>187</v>
      </c>
      <c r="I67" s="9" t="s">
        <v>188</v>
      </c>
      <c r="J67" s="48" t="s">
        <v>187</v>
      </c>
      <c r="K67" s="514" t="s">
        <v>418</v>
      </c>
      <c r="L67" s="62">
        <v>8.1712962962962963E-3</v>
      </c>
      <c r="M67" s="543"/>
    </row>
    <row r="68" spans="1:13" ht="30.75">
      <c r="A68" s="538"/>
      <c r="B68" s="546"/>
      <c r="C68" s="534"/>
      <c r="D68" s="33" t="s">
        <v>301</v>
      </c>
      <c r="E68" s="135" t="s">
        <v>419</v>
      </c>
      <c r="F68" s="79"/>
      <c r="G68" s="97" t="s">
        <v>420</v>
      </c>
      <c r="H68" s="176" t="s">
        <v>187</v>
      </c>
      <c r="I68" s="9" t="s">
        <v>188</v>
      </c>
      <c r="J68" s="48" t="s">
        <v>187</v>
      </c>
      <c r="K68" s="514" t="s">
        <v>421</v>
      </c>
      <c r="L68" s="94">
        <v>8.5069444444444437E-3</v>
      </c>
      <c r="M68" s="543"/>
    </row>
    <row r="69" spans="1:13" ht="30.75">
      <c r="A69" s="538"/>
      <c r="B69" s="546"/>
      <c r="C69" s="533" t="s">
        <v>305</v>
      </c>
      <c r="D69" s="25" t="s">
        <v>306</v>
      </c>
      <c r="E69" s="135" t="s">
        <v>422</v>
      </c>
      <c r="F69" s="71" t="s">
        <v>294</v>
      </c>
      <c r="G69" s="97" t="s">
        <v>423</v>
      </c>
      <c r="H69" s="176" t="s">
        <v>187</v>
      </c>
      <c r="I69" s="9" t="s">
        <v>188</v>
      </c>
      <c r="J69" s="48" t="s">
        <v>187</v>
      </c>
      <c r="K69" s="514" t="s">
        <v>424</v>
      </c>
      <c r="L69" s="62">
        <v>6.9097222222222225E-3</v>
      </c>
      <c r="M69" s="543"/>
    </row>
    <row r="70" spans="1:13">
      <c r="A70" s="538"/>
      <c r="B70" s="546"/>
      <c r="C70" s="532"/>
      <c r="D70" s="25" t="s">
        <v>425</v>
      </c>
      <c r="E70" s="54" t="s">
        <v>426</v>
      </c>
      <c r="F70" s="72"/>
      <c r="G70" s="103" t="s">
        <v>427</v>
      </c>
      <c r="H70" s="176" t="s">
        <v>187</v>
      </c>
      <c r="I70" s="9" t="s">
        <v>188</v>
      </c>
      <c r="J70" s="48" t="s">
        <v>187</v>
      </c>
      <c r="K70" s="514" t="s">
        <v>428</v>
      </c>
      <c r="L70" s="62">
        <v>7.5231481481481477E-3</v>
      </c>
      <c r="M70" s="543"/>
    </row>
    <row r="71" spans="1:13" ht="30.75">
      <c r="A71" s="538"/>
      <c r="B71" s="546"/>
      <c r="C71" s="534"/>
      <c r="D71" s="25" t="s">
        <v>429</v>
      </c>
      <c r="E71" s="52" t="s">
        <v>430</v>
      </c>
      <c r="G71" s="103" t="s">
        <v>431</v>
      </c>
      <c r="H71" s="176" t="s">
        <v>187</v>
      </c>
      <c r="I71" s="9" t="s">
        <v>188</v>
      </c>
      <c r="J71" s="53" t="s">
        <v>187</v>
      </c>
      <c r="K71" s="514" t="s">
        <v>432</v>
      </c>
      <c r="L71" s="62">
        <v>6.5162037037037037E-3</v>
      </c>
      <c r="M71" s="543"/>
    </row>
    <row r="72" spans="1:13" ht="30.75">
      <c r="A72" s="538"/>
      <c r="B72" s="546"/>
      <c r="C72" s="533" t="s">
        <v>365</v>
      </c>
      <c r="D72" s="22" t="s">
        <v>433</v>
      </c>
      <c r="E72" s="135" t="s">
        <v>434</v>
      </c>
      <c r="F72" s="72"/>
      <c r="G72" s="97" t="s">
        <v>435</v>
      </c>
      <c r="H72" s="176" t="s">
        <v>187</v>
      </c>
      <c r="I72" s="9" t="s">
        <v>188</v>
      </c>
      <c r="J72" s="48" t="s">
        <v>187</v>
      </c>
      <c r="K72" s="514" t="s">
        <v>436</v>
      </c>
      <c r="L72" s="94">
        <v>1.0625000000000001E-2</v>
      </c>
      <c r="M72" s="543"/>
    </row>
    <row r="73" spans="1:13">
      <c r="A73" s="538"/>
      <c r="B73" s="546"/>
      <c r="C73" s="532"/>
      <c r="D73" s="22" t="s">
        <v>437</v>
      </c>
      <c r="E73" s="54" t="s">
        <v>438</v>
      </c>
      <c r="F73" s="72"/>
      <c r="G73" s="97" t="s">
        <v>439</v>
      </c>
      <c r="H73" s="176" t="s">
        <v>187</v>
      </c>
      <c r="I73" s="9" t="s">
        <v>188</v>
      </c>
      <c r="J73" s="48" t="s">
        <v>187</v>
      </c>
      <c r="K73" s="514" t="s">
        <v>440</v>
      </c>
      <c r="L73" s="94">
        <v>1.4212962962962964E-2</v>
      </c>
      <c r="M73" s="543"/>
    </row>
    <row r="74" spans="1:13">
      <c r="A74" s="13"/>
      <c r="B74" s="14"/>
      <c r="C74" s="15"/>
      <c r="D74" s="15"/>
      <c r="E74" s="15"/>
      <c r="F74" s="15"/>
      <c r="G74" s="17"/>
      <c r="H74" s="15"/>
      <c r="I74" s="15"/>
      <c r="J74" s="16"/>
      <c r="K74" s="112"/>
      <c r="L74" s="16"/>
      <c r="M74" s="15"/>
    </row>
    <row r="75" spans="1:13">
      <c r="A75" s="537" t="s">
        <v>28</v>
      </c>
      <c r="B75" s="541" t="s">
        <v>29</v>
      </c>
      <c r="C75" s="535" t="s">
        <v>441</v>
      </c>
      <c r="D75" s="22" t="s">
        <v>442</v>
      </c>
      <c r="E75" s="138" t="s">
        <v>443</v>
      </c>
      <c r="F75" s="65"/>
      <c r="G75" s="162" t="s">
        <v>444</v>
      </c>
      <c r="H75" s="21"/>
      <c r="I75" s="9" t="s">
        <v>188</v>
      </c>
      <c r="J75" s="47" t="s">
        <v>187</v>
      </c>
      <c r="K75" s="105" t="s">
        <v>445</v>
      </c>
      <c r="L75" s="94">
        <v>1.6319444444444445E-3</v>
      </c>
      <c r="M75" s="544" t="str">
        <f>VLOOKUP(A75,Geral!$A$1:$D$36,3,FALSE)</f>
        <v>Simone Telles</v>
      </c>
    </row>
    <row r="76" spans="1:13">
      <c r="A76" s="538"/>
      <c r="B76" s="542"/>
      <c r="C76" s="536"/>
      <c r="D76" s="22" t="s">
        <v>446</v>
      </c>
      <c r="E76" s="138" t="s">
        <v>447</v>
      </c>
      <c r="F76" s="66"/>
      <c r="G76" s="99" t="s">
        <v>448</v>
      </c>
      <c r="H76" s="21"/>
      <c r="I76" s="9" t="s">
        <v>188</v>
      </c>
      <c r="J76" s="28" t="s">
        <v>187</v>
      </c>
      <c r="K76" s="125" t="s">
        <v>449</v>
      </c>
      <c r="L76" s="94">
        <v>1.3657407407407407E-3</v>
      </c>
      <c r="M76" s="545"/>
    </row>
    <row r="77" spans="1:13">
      <c r="A77" s="538"/>
      <c r="B77" s="542"/>
      <c r="C77" s="536"/>
      <c r="D77" s="22" t="s">
        <v>450</v>
      </c>
      <c r="E77" s="138" t="s">
        <v>451</v>
      </c>
      <c r="F77" s="66"/>
      <c r="G77" s="99" t="s">
        <v>452</v>
      </c>
      <c r="H77" s="21"/>
      <c r="I77" s="9" t="s">
        <v>188</v>
      </c>
      <c r="J77" s="47" t="s">
        <v>187</v>
      </c>
      <c r="K77" s="125" t="s">
        <v>453</v>
      </c>
      <c r="L77" s="94">
        <v>1.5624999999999999E-3</v>
      </c>
      <c r="M77" s="545"/>
    </row>
    <row r="78" spans="1:13">
      <c r="A78" s="538"/>
      <c r="B78" s="542"/>
      <c r="C78" s="536"/>
      <c r="D78" s="22" t="s">
        <v>454</v>
      </c>
      <c r="E78" s="138" t="s">
        <v>455</v>
      </c>
      <c r="F78" s="66"/>
      <c r="G78" s="99" t="s">
        <v>456</v>
      </c>
      <c r="H78" s="21"/>
      <c r="I78" s="9" t="s">
        <v>188</v>
      </c>
      <c r="J78" s="28" t="s">
        <v>187</v>
      </c>
      <c r="K78" s="125" t="s">
        <v>457</v>
      </c>
      <c r="L78" s="94">
        <v>1.4120370370370369E-3</v>
      </c>
      <c r="M78" s="545"/>
    </row>
    <row r="79" spans="1:13">
      <c r="A79" s="538"/>
      <c r="B79" s="542"/>
      <c r="C79" s="536"/>
      <c r="D79" s="22" t="s">
        <v>458</v>
      </c>
      <c r="E79" s="138" t="s">
        <v>459</v>
      </c>
      <c r="F79" s="76"/>
      <c r="G79" s="99" t="s">
        <v>460</v>
      </c>
      <c r="H79" s="21"/>
      <c r="I79" s="9" t="s">
        <v>188</v>
      </c>
      <c r="J79" s="28" t="s">
        <v>187</v>
      </c>
      <c r="K79" s="141" t="s">
        <v>461</v>
      </c>
      <c r="L79" s="81">
        <v>1.5856481481481481E-3</v>
      </c>
      <c r="M79" s="545"/>
    </row>
    <row r="80" spans="1:13">
      <c r="A80" s="538"/>
      <c r="B80" s="542"/>
      <c r="C80" s="536"/>
      <c r="D80" s="22" t="s">
        <v>462</v>
      </c>
      <c r="E80" s="138" t="s">
        <v>463</v>
      </c>
      <c r="F80" s="76"/>
      <c r="G80" s="99" t="s">
        <v>464</v>
      </c>
      <c r="H80" s="21"/>
      <c r="I80" s="9" t="s">
        <v>188</v>
      </c>
      <c r="J80" s="28" t="s">
        <v>187</v>
      </c>
      <c r="K80" s="125" t="s">
        <v>465</v>
      </c>
      <c r="L80" s="81">
        <v>1.3425925925925925E-3</v>
      </c>
      <c r="M80" s="545"/>
    </row>
    <row r="81" spans="1:13">
      <c r="A81" s="538"/>
      <c r="B81" s="542"/>
      <c r="C81" s="536"/>
      <c r="D81" s="22" t="s">
        <v>466</v>
      </c>
      <c r="E81" s="138" t="s">
        <v>467</v>
      </c>
      <c r="F81" s="76"/>
      <c r="G81" s="99" t="s">
        <v>468</v>
      </c>
      <c r="H81" s="21"/>
      <c r="I81" s="9" t="s">
        <v>188</v>
      </c>
      <c r="J81" s="29" t="s">
        <v>187</v>
      </c>
      <c r="K81" s="125" t="s">
        <v>469</v>
      </c>
      <c r="L81" s="128">
        <v>1.3888888888888889E-3</v>
      </c>
      <c r="M81" s="545"/>
    </row>
    <row r="82" spans="1:13">
      <c r="A82" s="538"/>
      <c r="B82" s="542"/>
      <c r="C82" s="536" t="s">
        <v>245</v>
      </c>
      <c r="D82" s="132"/>
      <c r="E82" s="138" t="s">
        <v>185</v>
      </c>
      <c r="F82" s="67"/>
      <c r="G82" s="174" t="s">
        <v>470</v>
      </c>
      <c r="H82" s="21"/>
      <c r="I82" s="9" t="s">
        <v>188</v>
      </c>
      <c r="J82" s="29" t="s">
        <v>187</v>
      </c>
      <c r="K82" s="43" t="s">
        <v>471</v>
      </c>
      <c r="L82" s="153">
        <v>7.291666666666667E-4</v>
      </c>
      <c r="M82" s="545"/>
    </row>
    <row r="83" spans="1:13" ht="30.75">
      <c r="A83" s="538"/>
      <c r="B83" s="542"/>
      <c r="C83" s="536"/>
      <c r="D83" s="132"/>
      <c r="E83" s="138" t="s">
        <v>472</v>
      </c>
      <c r="F83" s="67"/>
      <c r="G83" s="97" t="s">
        <v>473</v>
      </c>
      <c r="H83" s="21"/>
      <c r="I83" s="9" t="s">
        <v>188</v>
      </c>
      <c r="J83" s="29" t="s">
        <v>187</v>
      </c>
      <c r="K83" s="43" t="s">
        <v>474</v>
      </c>
      <c r="L83" s="153">
        <v>3.8425925925925923E-3</v>
      </c>
      <c r="M83" s="545"/>
    </row>
    <row r="84" spans="1:13" ht="30.75">
      <c r="A84" s="538"/>
      <c r="B84" s="542"/>
      <c r="C84" s="536"/>
      <c r="D84" s="132"/>
      <c r="E84" s="138" t="s">
        <v>475</v>
      </c>
      <c r="F84" s="67"/>
      <c r="G84" s="97" t="s">
        <v>476</v>
      </c>
      <c r="H84" s="21"/>
      <c r="I84" s="9" t="s">
        <v>188</v>
      </c>
      <c r="J84" s="29" t="s">
        <v>187</v>
      </c>
      <c r="K84" s="43" t="s">
        <v>477</v>
      </c>
      <c r="L84" s="153">
        <v>1.9097222222222222E-3</v>
      </c>
      <c r="M84" s="545"/>
    </row>
    <row r="85" spans="1:13" ht="30.75">
      <c r="A85" s="538"/>
      <c r="B85" s="542"/>
      <c r="C85" s="536"/>
      <c r="D85" s="132"/>
      <c r="E85" s="138" t="s">
        <v>478</v>
      </c>
      <c r="F85" s="67"/>
      <c r="G85" s="97" t="s">
        <v>479</v>
      </c>
      <c r="H85" s="21"/>
      <c r="I85" s="9" t="s">
        <v>188</v>
      </c>
      <c r="J85" s="29" t="s">
        <v>187</v>
      </c>
      <c r="K85" s="43" t="s">
        <v>480</v>
      </c>
      <c r="L85" s="153">
        <v>4.4444444444444444E-3</v>
      </c>
      <c r="M85" s="545"/>
    </row>
    <row r="86" spans="1:13">
      <c r="A86" s="538"/>
      <c r="B86" s="542"/>
      <c r="C86" s="536"/>
      <c r="D86" s="132"/>
      <c r="E86" s="138" t="s">
        <v>481</v>
      </c>
      <c r="F86" s="67"/>
      <c r="G86" s="97" t="s">
        <v>482</v>
      </c>
      <c r="H86" s="21"/>
      <c r="I86" s="9" t="s">
        <v>188</v>
      </c>
      <c r="J86" s="29" t="s">
        <v>187</v>
      </c>
      <c r="K86" s="43" t="s">
        <v>483</v>
      </c>
      <c r="L86" s="153">
        <v>3.472222222222222E-3</v>
      </c>
      <c r="M86" s="545"/>
    </row>
    <row r="87" spans="1:13">
      <c r="A87" s="538"/>
      <c r="B87" s="542"/>
      <c r="C87" s="536"/>
      <c r="D87" s="132"/>
      <c r="E87" s="138" t="s">
        <v>484</v>
      </c>
      <c r="F87" s="67"/>
      <c r="G87" s="97" t="s">
        <v>485</v>
      </c>
      <c r="H87" s="21"/>
      <c r="I87" s="9" t="s">
        <v>188</v>
      </c>
      <c r="J87" s="29" t="s">
        <v>187</v>
      </c>
      <c r="K87" s="43" t="s">
        <v>486</v>
      </c>
      <c r="L87" s="153">
        <v>3.2407407407407406E-3</v>
      </c>
      <c r="M87" s="545"/>
    </row>
    <row r="88" spans="1:13">
      <c r="A88" s="538"/>
      <c r="B88" s="542"/>
      <c r="C88" s="536"/>
      <c r="D88" s="132"/>
      <c r="E88" s="138" t="s">
        <v>487</v>
      </c>
      <c r="F88" s="67"/>
      <c r="G88" s="97" t="s">
        <v>488</v>
      </c>
      <c r="H88" s="21"/>
      <c r="I88" s="9" t="s">
        <v>188</v>
      </c>
      <c r="J88" s="29" t="s">
        <v>187</v>
      </c>
      <c r="K88" s="43" t="s">
        <v>489</v>
      </c>
      <c r="L88" s="153">
        <v>3.8078703703703707E-3</v>
      </c>
      <c r="M88" s="545"/>
    </row>
    <row r="89" spans="1:13">
      <c r="A89" s="538"/>
      <c r="B89" s="542"/>
      <c r="C89" s="532" t="s">
        <v>256</v>
      </c>
      <c r="D89" s="132"/>
      <c r="E89" s="138" t="s">
        <v>490</v>
      </c>
      <c r="F89" s="76"/>
      <c r="G89" s="99" t="s">
        <v>491</v>
      </c>
      <c r="H89" s="21"/>
      <c r="I89" s="9" t="s">
        <v>188</v>
      </c>
      <c r="J89" s="28" t="s">
        <v>187</v>
      </c>
      <c r="K89" s="43" t="s">
        <v>492</v>
      </c>
      <c r="L89" s="153">
        <v>1.1111111111111111E-3</v>
      </c>
      <c r="M89" s="545"/>
    </row>
    <row r="90" spans="1:13" ht="33" customHeight="1">
      <c r="A90" s="538"/>
      <c r="B90" s="542"/>
      <c r="C90" s="532"/>
      <c r="D90" s="132"/>
      <c r="E90" s="139" t="s">
        <v>493</v>
      </c>
      <c r="F90" s="76"/>
      <c r="G90" s="99" t="s">
        <v>494</v>
      </c>
      <c r="H90" s="21"/>
      <c r="I90" s="9" t="s">
        <v>188</v>
      </c>
      <c r="J90" s="28" t="s">
        <v>187</v>
      </c>
      <c r="K90" s="43" t="s">
        <v>495</v>
      </c>
      <c r="L90" s="153">
        <v>4.9884259259259257E-3</v>
      </c>
      <c r="M90" s="545"/>
    </row>
    <row r="91" spans="1:13">
      <c r="A91" s="538"/>
      <c r="B91" s="542"/>
      <c r="C91" s="532" t="s">
        <v>266</v>
      </c>
      <c r="D91" s="25"/>
      <c r="E91" s="140" t="s">
        <v>496</v>
      </c>
      <c r="F91" s="67"/>
      <c r="G91" s="99" t="s">
        <v>497</v>
      </c>
      <c r="H91" s="21"/>
      <c r="I91" s="9" t="s">
        <v>188</v>
      </c>
      <c r="J91" s="28" t="s">
        <v>187</v>
      </c>
      <c r="K91" s="43" t="s">
        <v>498</v>
      </c>
      <c r="L91" s="153">
        <v>5.9606481481481481E-3</v>
      </c>
      <c r="M91" s="545"/>
    </row>
    <row r="92" spans="1:13">
      <c r="A92" s="538"/>
      <c r="B92" s="542"/>
      <c r="C92" s="532"/>
      <c r="D92" s="25"/>
      <c r="E92" s="140" t="s">
        <v>499</v>
      </c>
      <c r="F92" s="76"/>
      <c r="G92" s="21" t="s">
        <v>500</v>
      </c>
      <c r="H92" s="21"/>
      <c r="I92" s="9" t="s">
        <v>188</v>
      </c>
      <c r="J92" s="28" t="s">
        <v>187</v>
      </c>
      <c r="K92" s="43" t="s">
        <v>501</v>
      </c>
      <c r="L92" s="153">
        <v>1.9675925925925924E-3</v>
      </c>
      <c r="M92" s="545"/>
    </row>
    <row r="93" spans="1:13" ht="30.75">
      <c r="A93" s="538"/>
      <c r="B93" s="542"/>
      <c r="C93" s="533" t="s">
        <v>278</v>
      </c>
      <c r="D93" s="25"/>
      <c r="E93" s="140" t="s">
        <v>502</v>
      </c>
      <c r="F93" s="77"/>
      <c r="G93" s="21" t="s">
        <v>503</v>
      </c>
      <c r="H93" s="21"/>
      <c r="I93" s="9" t="s">
        <v>188</v>
      </c>
      <c r="J93" s="28" t="s">
        <v>187</v>
      </c>
      <c r="K93" s="366" t="s">
        <v>504</v>
      </c>
      <c r="L93" s="153">
        <v>1.5682870370370371E-2</v>
      </c>
      <c r="M93" s="545"/>
    </row>
    <row r="94" spans="1:13">
      <c r="A94" s="538"/>
      <c r="B94" s="542"/>
      <c r="C94" s="532"/>
      <c r="D94" s="25"/>
      <c r="E94" s="140" t="s">
        <v>505</v>
      </c>
      <c r="F94" s="77"/>
      <c r="G94" s="21" t="s">
        <v>506</v>
      </c>
      <c r="H94" s="21"/>
      <c r="I94" s="9" t="s">
        <v>188</v>
      </c>
      <c r="J94" s="28" t="s">
        <v>187</v>
      </c>
      <c r="K94" s="366" t="s">
        <v>507</v>
      </c>
      <c r="L94" s="153">
        <v>1.6006944444444445E-2</v>
      </c>
      <c r="M94" s="545"/>
    </row>
    <row r="95" spans="1:13" ht="17.25" customHeight="1">
      <c r="A95" s="538"/>
      <c r="B95" s="542"/>
      <c r="C95" s="534"/>
      <c r="D95" s="25"/>
      <c r="E95" s="137" t="s">
        <v>508</v>
      </c>
      <c r="F95" s="68"/>
      <c r="G95" s="21" t="s">
        <v>509</v>
      </c>
      <c r="H95" s="21"/>
      <c r="I95" s="9" t="s">
        <v>188</v>
      </c>
      <c r="J95" s="28" t="s">
        <v>187</v>
      </c>
      <c r="K95" s="43" t="s">
        <v>510</v>
      </c>
      <c r="L95" s="153">
        <v>9.9652777777777778E-3</v>
      </c>
      <c r="M95" s="545"/>
    </row>
    <row r="96" spans="1:13" ht="30.75">
      <c r="A96" s="538"/>
      <c r="B96" s="542"/>
      <c r="C96" s="535" t="s">
        <v>291</v>
      </c>
      <c r="D96" s="25"/>
      <c r="E96" s="36" t="s">
        <v>511</v>
      </c>
      <c r="F96" s="68"/>
      <c r="G96" s="21" t="s">
        <v>512</v>
      </c>
      <c r="H96" s="21"/>
      <c r="I96" s="9" t="s">
        <v>188</v>
      </c>
      <c r="J96" s="28" t="s">
        <v>187</v>
      </c>
      <c r="K96" s="43" t="s">
        <v>513</v>
      </c>
      <c r="L96" s="153">
        <v>1.275462962962963E-2</v>
      </c>
      <c r="M96" s="545"/>
    </row>
    <row r="97" spans="1:13">
      <c r="A97" s="538"/>
      <c r="B97" s="542"/>
      <c r="C97" s="536"/>
      <c r="D97" s="25"/>
      <c r="E97" s="36" t="s">
        <v>514</v>
      </c>
      <c r="F97" s="68"/>
      <c r="G97" s="21" t="s">
        <v>515</v>
      </c>
      <c r="H97" s="21"/>
      <c r="I97" s="9" t="s">
        <v>188</v>
      </c>
      <c r="J97" s="28" t="s">
        <v>187</v>
      </c>
      <c r="K97" s="43" t="s">
        <v>516</v>
      </c>
      <c r="L97" s="153">
        <v>1.0416666666666666E-2</v>
      </c>
      <c r="M97" s="545"/>
    </row>
    <row r="98" spans="1:13" ht="14.25" customHeight="1">
      <c r="A98" s="150"/>
      <c r="B98" s="542"/>
      <c r="C98" s="539" t="s">
        <v>305</v>
      </c>
      <c r="D98" s="25"/>
      <c r="E98" s="137" t="s">
        <v>517</v>
      </c>
      <c r="F98" s="36"/>
      <c r="G98" s="96" t="s">
        <v>518</v>
      </c>
      <c r="H98" s="68"/>
      <c r="I98" s="9" t="s">
        <v>188</v>
      </c>
      <c r="J98" s="28" t="s">
        <v>187</v>
      </c>
      <c r="K98" s="365" t="s">
        <v>519</v>
      </c>
      <c r="L98" s="170">
        <v>1.4583333333333334E-2</v>
      </c>
      <c r="M98" s="545"/>
    </row>
    <row r="99" spans="1:13">
      <c r="A99" s="150"/>
      <c r="B99" s="542"/>
      <c r="C99" s="540"/>
      <c r="D99" s="25"/>
      <c r="E99" s="137" t="s">
        <v>520</v>
      </c>
      <c r="F99" s="36"/>
      <c r="G99" s="21" t="s">
        <v>521</v>
      </c>
      <c r="H99" s="68"/>
      <c r="I99" s="9" t="s">
        <v>188</v>
      </c>
      <c r="J99" s="28" t="s">
        <v>187</v>
      </c>
      <c r="K99" s="365" t="s">
        <v>522</v>
      </c>
      <c r="L99" s="170">
        <v>6.9328703703703705E-3</v>
      </c>
      <c r="M99" s="545"/>
    </row>
    <row r="100" spans="1:13">
      <c r="A100" s="150"/>
      <c r="B100" s="542"/>
      <c r="C100" s="540"/>
      <c r="D100" s="25"/>
      <c r="E100" s="137" t="s">
        <v>523</v>
      </c>
      <c r="F100" s="36"/>
      <c r="G100" s="21" t="s">
        <v>524</v>
      </c>
      <c r="H100" s="68"/>
      <c r="I100" s="9" t="s">
        <v>188</v>
      </c>
      <c r="J100" s="28" t="s">
        <v>187</v>
      </c>
      <c r="K100" s="43" t="s">
        <v>525</v>
      </c>
      <c r="L100" s="170">
        <v>9.7222222222222224E-3</v>
      </c>
      <c r="M100" s="545"/>
    </row>
    <row r="101" spans="1:13" ht="30.75">
      <c r="A101" s="150"/>
      <c r="B101" s="542"/>
      <c r="C101" s="540" t="s">
        <v>365</v>
      </c>
      <c r="D101" s="25"/>
      <c r="E101" s="36" t="s">
        <v>526</v>
      </c>
      <c r="F101" s="36"/>
      <c r="G101" s="21" t="s">
        <v>527</v>
      </c>
      <c r="H101" s="68"/>
      <c r="I101" s="9" t="s">
        <v>188</v>
      </c>
      <c r="J101" s="28"/>
      <c r="K101" s="151" t="s">
        <v>528</v>
      </c>
      <c r="L101" s="170">
        <v>1.7546296296296296E-2</v>
      </c>
      <c r="M101" s="545"/>
    </row>
    <row r="102" spans="1:13" ht="30.75">
      <c r="A102" s="150"/>
      <c r="B102" s="542"/>
      <c r="C102" s="540"/>
      <c r="D102" s="25"/>
      <c r="E102" s="152" t="s">
        <v>529</v>
      </c>
      <c r="F102" s="36"/>
      <c r="G102" s="21" t="s">
        <v>530</v>
      </c>
      <c r="H102" s="68"/>
      <c r="I102" s="9" t="s">
        <v>188</v>
      </c>
      <c r="J102" s="28"/>
      <c r="K102" s="151" t="s">
        <v>531</v>
      </c>
      <c r="L102" s="170">
        <v>7.2685185185185188E-3</v>
      </c>
      <c r="M102" s="545"/>
    </row>
    <row r="103" spans="1:13">
      <c r="A103" s="13"/>
      <c r="B103" s="14"/>
      <c r="C103" s="15"/>
      <c r="D103" s="15"/>
      <c r="E103" s="16"/>
      <c r="F103" s="15"/>
      <c r="G103" s="17"/>
      <c r="H103" s="15"/>
      <c r="I103" s="15"/>
      <c r="J103" s="16"/>
      <c r="K103" s="16"/>
      <c r="L103" s="16"/>
      <c r="M103" s="15"/>
    </row>
    <row r="104" spans="1:13" ht="30.75">
      <c r="A104" s="524" t="s">
        <v>32</v>
      </c>
      <c r="B104" s="526" t="s">
        <v>532</v>
      </c>
      <c r="C104" s="528" t="s">
        <v>245</v>
      </c>
      <c r="D104" s="22" t="s">
        <v>184</v>
      </c>
      <c r="E104" s="56" t="s">
        <v>533</v>
      </c>
      <c r="F104" s="70"/>
      <c r="G104" s="101" t="s">
        <v>534</v>
      </c>
      <c r="H104" s="176" t="s">
        <v>187</v>
      </c>
      <c r="I104" s="9" t="s">
        <v>188</v>
      </c>
      <c r="J104" s="10" t="s">
        <v>187</v>
      </c>
      <c r="K104" s="105" t="s">
        <v>535</v>
      </c>
      <c r="L104" s="129">
        <v>1.2418981481481482E-2</v>
      </c>
      <c r="M104" s="543" t="str">
        <f>VLOOKUP(A104,Geral!$A$1:$D$36,3,FALSE)</f>
        <v>Eli Vagner Francisco Rodrigues</v>
      </c>
    </row>
    <row r="105" spans="1:13" ht="30.75">
      <c r="A105" s="525"/>
      <c r="B105" s="527"/>
      <c r="C105" s="528"/>
      <c r="D105" s="22" t="s">
        <v>190</v>
      </c>
      <c r="E105" s="56" t="s">
        <v>536</v>
      </c>
      <c r="F105" s="70"/>
      <c r="G105" s="97" t="s">
        <v>537</v>
      </c>
      <c r="H105" s="176" t="s">
        <v>187</v>
      </c>
      <c r="I105" s="9" t="s">
        <v>188</v>
      </c>
      <c r="J105" s="10" t="s">
        <v>187</v>
      </c>
      <c r="K105" s="105" t="s">
        <v>538</v>
      </c>
      <c r="L105" s="129">
        <v>1.2361111111111113E-2</v>
      </c>
      <c r="M105" s="543"/>
    </row>
    <row r="106" spans="1:13">
      <c r="A106" s="525"/>
      <c r="B106" s="527"/>
      <c r="C106" s="529" t="s">
        <v>256</v>
      </c>
      <c r="D106" s="22" t="s">
        <v>195</v>
      </c>
      <c r="E106" s="56" t="s">
        <v>539</v>
      </c>
      <c r="F106" s="70"/>
      <c r="G106" s="97" t="s">
        <v>540</v>
      </c>
      <c r="H106" s="176" t="s">
        <v>187</v>
      </c>
      <c r="I106" s="9" t="s">
        <v>188</v>
      </c>
      <c r="J106" s="10" t="s">
        <v>187</v>
      </c>
      <c r="K106" s="105" t="s">
        <v>541</v>
      </c>
      <c r="L106" s="129">
        <v>1.3113425925925926E-2</v>
      </c>
      <c r="M106" s="543"/>
    </row>
    <row r="107" spans="1:13">
      <c r="A107" s="525"/>
      <c r="B107" s="527"/>
      <c r="C107" s="530"/>
      <c r="D107" s="22" t="s">
        <v>199</v>
      </c>
      <c r="E107" s="56" t="s">
        <v>542</v>
      </c>
      <c r="F107" s="78"/>
      <c r="G107" s="97" t="s">
        <v>543</v>
      </c>
      <c r="H107" s="176" t="s">
        <v>187</v>
      </c>
      <c r="I107" s="9" t="s">
        <v>188</v>
      </c>
      <c r="J107" s="28" t="s">
        <v>187</v>
      </c>
      <c r="K107" s="105" t="s">
        <v>544</v>
      </c>
      <c r="L107" s="129">
        <v>1.0115740740740741E-2</v>
      </c>
      <c r="M107" s="543"/>
    </row>
    <row r="108" spans="1:13">
      <c r="A108" s="525"/>
      <c r="B108" s="527"/>
      <c r="C108" s="530"/>
      <c r="D108" s="22" t="s">
        <v>204</v>
      </c>
      <c r="E108" s="56" t="s">
        <v>545</v>
      </c>
      <c r="F108" s="78"/>
      <c r="G108" s="97" t="s">
        <v>546</v>
      </c>
      <c r="H108" s="176" t="s">
        <v>187</v>
      </c>
      <c r="I108" s="9" t="s">
        <v>188</v>
      </c>
      <c r="J108" s="28" t="s">
        <v>187</v>
      </c>
      <c r="K108" s="105" t="s">
        <v>547</v>
      </c>
      <c r="L108" s="129">
        <v>1.1261574074074071E-2</v>
      </c>
      <c r="M108" s="543"/>
    </row>
    <row r="109" spans="1:13">
      <c r="A109" s="525"/>
      <c r="B109" s="527"/>
      <c r="C109" s="531"/>
      <c r="D109" s="22" t="s">
        <v>208</v>
      </c>
      <c r="E109" s="56" t="s">
        <v>548</v>
      </c>
      <c r="F109" s="78"/>
      <c r="G109" s="97" t="s">
        <v>549</v>
      </c>
      <c r="H109" s="176" t="s">
        <v>187</v>
      </c>
      <c r="I109" s="9" t="s">
        <v>188</v>
      </c>
      <c r="J109" s="29" t="s">
        <v>187</v>
      </c>
      <c r="K109" s="105" t="s">
        <v>550</v>
      </c>
      <c r="L109" s="129">
        <v>1.1076388888888887E-2</v>
      </c>
      <c r="M109" s="543"/>
    </row>
    <row r="110" spans="1:13">
      <c r="A110" s="525"/>
      <c r="B110" s="527"/>
      <c r="C110" s="528" t="s">
        <v>266</v>
      </c>
      <c r="D110" s="22" t="s">
        <v>213</v>
      </c>
      <c r="E110" s="56" t="s">
        <v>551</v>
      </c>
      <c r="F110" s="71"/>
      <c r="G110" s="97" t="s">
        <v>552</v>
      </c>
      <c r="H110" s="176" t="s">
        <v>187</v>
      </c>
      <c r="I110" s="9" t="s">
        <v>188</v>
      </c>
      <c r="J110" s="29" t="s">
        <v>187</v>
      </c>
      <c r="K110" s="105" t="s">
        <v>553</v>
      </c>
      <c r="L110" s="129">
        <v>1.1793981481481482E-2</v>
      </c>
      <c r="M110" s="543"/>
    </row>
    <row r="111" spans="1:13">
      <c r="A111" s="525"/>
      <c r="B111" s="527"/>
      <c r="C111" s="528"/>
      <c r="D111" s="22" t="s">
        <v>270</v>
      </c>
      <c r="E111" s="56" t="s">
        <v>554</v>
      </c>
      <c r="F111" s="71"/>
      <c r="G111" s="97" t="s">
        <v>555</v>
      </c>
      <c r="H111" s="176" t="s">
        <v>187</v>
      </c>
      <c r="I111" s="9" t="s">
        <v>188</v>
      </c>
      <c r="J111" s="29" t="s">
        <v>187</v>
      </c>
      <c r="K111" s="105" t="s">
        <v>556</v>
      </c>
      <c r="L111" s="129">
        <v>6.3310185185185197E-3</v>
      </c>
      <c r="M111" s="543"/>
    </row>
    <row r="112" spans="1:13">
      <c r="A112" s="525"/>
      <c r="B112" s="527"/>
      <c r="C112" s="528"/>
      <c r="D112" s="22" t="s">
        <v>274</v>
      </c>
      <c r="E112" s="56" t="s">
        <v>557</v>
      </c>
      <c r="F112" s="78"/>
      <c r="G112" s="97" t="s">
        <v>558</v>
      </c>
      <c r="H112" s="176" t="s">
        <v>187</v>
      </c>
      <c r="I112" s="9" t="s">
        <v>188</v>
      </c>
      <c r="J112" s="28" t="s">
        <v>187</v>
      </c>
      <c r="K112" s="105" t="s">
        <v>559</v>
      </c>
      <c r="L112" s="129">
        <v>1.136574074074074E-2</v>
      </c>
      <c r="M112" s="543"/>
    </row>
    <row r="113" spans="1:13">
      <c r="A113" s="525"/>
      <c r="B113" s="527"/>
      <c r="C113" s="528" t="s">
        <v>278</v>
      </c>
      <c r="D113" s="22" t="s">
        <v>279</v>
      </c>
      <c r="E113" s="56" t="s">
        <v>560</v>
      </c>
      <c r="F113" s="78"/>
      <c r="G113" s="97" t="s">
        <v>561</v>
      </c>
      <c r="H113" s="176" t="s">
        <v>187</v>
      </c>
      <c r="I113" s="9" t="s">
        <v>188</v>
      </c>
      <c r="J113" s="28" t="s">
        <v>187</v>
      </c>
      <c r="K113" s="105" t="s">
        <v>562</v>
      </c>
      <c r="L113" s="129">
        <v>9.4907407407407406E-3</v>
      </c>
      <c r="M113" s="543"/>
    </row>
    <row r="114" spans="1:13" ht="30.75">
      <c r="A114" s="525"/>
      <c r="B114" s="527"/>
      <c r="C114" s="528"/>
      <c r="D114" s="22" t="s">
        <v>283</v>
      </c>
      <c r="E114" s="56" t="s">
        <v>563</v>
      </c>
      <c r="F114" s="78"/>
      <c r="G114" s="98" t="s">
        <v>564</v>
      </c>
      <c r="H114" s="176" t="s">
        <v>565</v>
      </c>
      <c r="I114" s="9" t="s">
        <v>188</v>
      </c>
      <c r="J114" s="28" t="s">
        <v>187</v>
      </c>
      <c r="K114" s="105" t="s">
        <v>566</v>
      </c>
      <c r="L114" s="83">
        <v>1.0451388888888889E-2</v>
      </c>
      <c r="M114" s="543"/>
    </row>
    <row r="115" spans="1:13">
      <c r="A115" s="525"/>
      <c r="B115" s="527"/>
      <c r="C115" s="528"/>
      <c r="D115" s="22" t="s">
        <v>287</v>
      </c>
      <c r="E115" s="56" t="s">
        <v>567</v>
      </c>
      <c r="F115" s="78"/>
      <c r="G115" s="98" t="s">
        <v>568</v>
      </c>
      <c r="H115" s="176" t="s">
        <v>565</v>
      </c>
      <c r="I115" s="9" t="s">
        <v>188</v>
      </c>
      <c r="J115" s="28" t="s">
        <v>187</v>
      </c>
      <c r="K115" s="105" t="s">
        <v>569</v>
      </c>
      <c r="L115" s="83">
        <v>1.2094907407407407E-2</v>
      </c>
      <c r="M115" s="543"/>
    </row>
    <row r="116" spans="1:13">
      <c r="A116" s="525"/>
      <c r="B116" s="527"/>
      <c r="C116" s="55" t="s">
        <v>291</v>
      </c>
      <c r="D116" s="22" t="s">
        <v>292</v>
      </c>
      <c r="E116" s="56" t="s">
        <v>570</v>
      </c>
      <c r="F116" s="73"/>
      <c r="G116" s="102" t="s">
        <v>571</v>
      </c>
      <c r="H116" s="176" t="s">
        <v>187</v>
      </c>
      <c r="I116" s="9" t="s">
        <v>188</v>
      </c>
      <c r="J116" s="28" t="s">
        <v>187</v>
      </c>
      <c r="K116" s="105" t="s">
        <v>572</v>
      </c>
      <c r="L116" s="81">
        <v>1.2418981481481482E-2</v>
      </c>
      <c r="M116" s="543"/>
    </row>
    <row r="117" spans="1:13">
      <c r="A117" s="122"/>
      <c r="B117" s="123"/>
      <c r="C117" s="124"/>
      <c r="D117" s="19" t="s">
        <v>297</v>
      </c>
      <c r="E117" s="56" t="s">
        <v>573</v>
      </c>
      <c r="F117" s="73"/>
      <c r="G117" s="102" t="s">
        <v>574</v>
      </c>
      <c r="H117" s="176" t="s">
        <v>565</v>
      </c>
      <c r="I117" s="9" t="s">
        <v>188</v>
      </c>
      <c r="J117" s="102" t="s">
        <v>187</v>
      </c>
      <c r="K117" s="149" t="s">
        <v>575</v>
      </c>
      <c r="L117" s="148">
        <v>1.0069444444444445E-2</v>
      </c>
      <c r="M117" s="543"/>
    </row>
    <row r="118" spans="1:13">
      <c r="A118" s="13"/>
      <c r="B118" s="14"/>
      <c r="C118" s="15"/>
      <c r="D118" s="15"/>
      <c r="E118" s="16"/>
      <c r="F118" s="15"/>
      <c r="G118" s="17"/>
      <c r="H118" s="15"/>
      <c r="I118" s="15"/>
      <c r="J118" s="16"/>
      <c r="K118" s="16"/>
      <c r="L118" s="16"/>
      <c r="M118" s="15"/>
    </row>
  </sheetData>
  <autoFilter ref="B1:N118" xr:uid="{16C4B92E-A02E-4985-8F2A-BCDD8F0E88C1}"/>
  <mergeCells count="56">
    <mergeCell ref="A53:A73"/>
    <mergeCell ref="B53:B73"/>
    <mergeCell ref="C53:C56"/>
    <mergeCell ref="M53:M73"/>
    <mergeCell ref="C57:C59"/>
    <mergeCell ref="C60:C62"/>
    <mergeCell ref="C63:C65"/>
    <mergeCell ref="C66:C68"/>
    <mergeCell ref="C69:C71"/>
    <mergeCell ref="C72:C73"/>
    <mergeCell ref="P38:Q38"/>
    <mergeCell ref="B36:B51"/>
    <mergeCell ref="C36:C38"/>
    <mergeCell ref="C44:C45"/>
    <mergeCell ref="C46:C47"/>
    <mergeCell ref="C48:C49"/>
    <mergeCell ref="A2:A8"/>
    <mergeCell ref="B2:B8"/>
    <mergeCell ref="M11:M17"/>
    <mergeCell ref="A10:A17"/>
    <mergeCell ref="B10:B17"/>
    <mergeCell ref="C10:C11"/>
    <mergeCell ref="C2:C3"/>
    <mergeCell ref="C4:C5"/>
    <mergeCell ref="C6:C7"/>
    <mergeCell ref="M2:M8"/>
    <mergeCell ref="M104:M117"/>
    <mergeCell ref="C110:C112"/>
    <mergeCell ref="C113:C115"/>
    <mergeCell ref="M75:M102"/>
    <mergeCell ref="A19:A34"/>
    <mergeCell ref="B19:B34"/>
    <mergeCell ref="C22:C24"/>
    <mergeCell ref="C25:C27"/>
    <mergeCell ref="C28:C30"/>
    <mergeCell ref="C31:C33"/>
    <mergeCell ref="M19:M34"/>
    <mergeCell ref="C19:C21"/>
    <mergeCell ref="C39:C41"/>
    <mergeCell ref="C42:C43"/>
    <mergeCell ref="M36:M51"/>
    <mergeCell ref="C50:C51"/>
    <mergeCell ref="A104:A116"/>
    <mergeCell ref="B104:B116"/>
    <mergeCell ref="C104:C105"/>
    <mergeCell ref="C106:C109"/>
    <mergeCell ref="C91:C92"/>
    <mergeCell ref="C93:C95"/>
    <mergeCell ref="C96:C97"/>
    <mergeCell ref="A75:A97"/>
    <mergeCell ref="C98:C100"/>
    <mergeCell ref="C82:C88"/>
    <mergeCell ref="C89:C90"/>
    <mergeCell ref="C75:C81"/>
    <mergeCell ref="B75:B102"/>
    <mergeCell ref="C101:C102"/>
  </mergeCells>
  <conditionalFormatting sqref="I2:I8 J35">
    <cfRule type="containsText" dxfId="915" priority="195" operator="containsText" text="finalizado">
      <formula>NOT(ISERROR(SEARCH("finalizado",I2)))</formula>
    </cfRule>
    <cfRule type="containsText" dxfId="914" priority="197" operator="containsText" text="editado pela TV">
      <formula>NOT(ISERROR(SEARCH("editado pela TV",I2)))</formula>
    </cfRule>
    <cfRule type="containsText" dxfId="913" priority="198" operator="containsText" text="em correção">
      <formula>NOT(ISERROR(SEARCH("em correção",I2)))</formula>
    </cfRule>
    <cfRule type="containsText" dxfId="912" priority="199" operator="containsText" text="enviado pelo prof">
      <formula>NOT(ISERROR(SEARCH("enviado pelo prof",I2)))</formula>
    </cfRule>
    <cfRule type="containsText" dxfId="911" priority="200" operator="containsText" text="vai gravar">
      <formula>NOT(ISERROR(SEARCH("vai gravar",I2)))</formula>
    </cfRule>
  </conditionalFormatting>
  <conditionalFormatting sqref="I2:I8">
    <cfRule type="containsText" dxfId="910" priority="193" operator="containsText" text="em edição">
      <formula>NOT(ISERROR(SEARCH("em edição",I2)))</formula>
    </cfRule>
    <cfRule type="containsText" dxfId="909" priority="194" operator="containsText" text="procedimento interno">
      <formula>NOT(ISERROR(SEARCH("procedimento interno",I2)))</formula>
    </cfRule>
    <cfRule type="containsText" dxfId="908" priority="196" operator="containsText" text="em correção">
      <formula>NOT(ISERROR(SEARCH("em correção",I2)))</formula>
    </cfRule>
  </conditionalFormatting>
  <conditionalFormatting sqref="I10 I12 I17 I19:I34 I104:I117 I75:I102">
    <cfRule type="containsText" dxfId="907" priority="177" operator="containsText" text="em edição">
      <formula>NOT(ISERROR(SEARCH("em edição",I10)))</formula>
    </cfRule>
    <cfRule type="containsText" dxfId="906" priority="178" operator="containsText" text="procedimento interno">
      <formula>NOT(ISERROR(SEARCH("procedimento interno",I10)))</formula>
    </cfRule>
    <cfRule type="containsText" dxfId="905" priority="179" operator="containsText" text="finalizado">
      <formula>NOT(ISERROR(SEARCH("finalizado",I10)))</formula>
    </cfRule>
    <cfRule type="containsText" dxfId="904" priority="180" operator="containsText" text="em correção">
      <formula>NOT(ISERROR(SEARCH("em correção",I10)))</formula>
    </cfRule>
    <cfRule type="containsText" dxfId="903" priority="181" operator="containsText" text="editado pela TV">
      <formula>NOT(ISERROR(SEARCH("editado pela TV",I10)))</formula>
    </cfRule>
    <cfRule type="containsText" dxfId="902" priority="182" operator="containsText" text="em correção">
      <formula>NOT(ISERROR(SEARCH("em correção",I10)))</formula>
    </cfRule>
    <cfRule type="containsText" dxfId="901" priority="183" operator="containsText" text="enviado pelo prof">
      <formula>NOT(ISERROR(SEARCH("enviado pelo prof",I10)))</formula>
    </cfRule>
    <cfRule type="containsText" dxfId="900" priority="184" operator="containsText" text="vai gravar">
      <formula>NOT(ISERROR(SEARCH("vai gravar",I10)))</formula>
    </cfRule>
  </conditionalFormatting>
  <conditionalFormatting sqref="I36:I51">
    <cfRule type="containsText" dxfId="899" priority="121" operator="containsText" text="em edição">
      <formula>NOT(ISERROR(SEARCH("em edição",I36)))</formula>
    </cfRule>
    <cfRule type="containsText" dxfId="898" priority="122" operator="containsText" text="procedimento interno">
      <formula>NOT(ISERROR(SEARCH("procedimento interno",I36)))</formula>
    </cfRule>
    <cfRule type="containsText" dxfId="897" priority="123" operator="containsText" text="finalizado">
      <formula>NOT(ISERROR(SEARCH("finalizado",I36)))</formula>
    </cfRule>
    <cfRule type="containsText" dxfId="896" priority="124" operator="containsText" text="em correção">
      <formula>NOT(ISERROR(SEARCH("em correção",I36)))</formula>
    </cfRule>
    <cfRule type="containsText" dxfId="895" priority="125" operator="containsText" text="editado pela TV">
      <formula>NOT(ISERROR(SEARCH("editado pela TV",I36)))</formula>
    </cfRule>
    <cfRule type="containsText" dxfId="894" priority="126" operator="containsText" text="em correção">
      <formula>NOT(ISERROR(SEARCH("em correção",I36)))</formula>
    </cfRule>
    <cfRule type="containsText" dxfId="893" priority="127" operator="containsText" text="enviado pelo prof">
      <formula>NOT(ISERROR(SEARCH("enviado pelo prof",I36)))</formula>
    </cfRule>
    <cfRule type="containsText" dxfId="892" priority="128" operator="containsText" text="vai gravar">
      <formula>NOT(ISERROR(SEARCH("vai gravar",I36)))</formula>
    </cfRule>
  </conditionalFormatting>
  <conditionalFormatting sqref="I53 I55:I56 I58:I71">
    <cfRule type="containsText" dxfId="891" priority="105" operator="containsText" text="em edição">
      <formula>NOT(ISERROR(SEARCH("em edição",I53)))</formula>
    </cfRule>
    <cfRule type="containsText" dxfId="890" priority="106" operator="containsText" text="procedimento interno">
      <formula>NOT(ISERROR(SEARCH("procedimento interno",I53)))</formula>
    </cfRule>
    <cfRule type="containsText" dxfId="889" priority="107" operator="containsText" text="finalizado">
      <formula>NOT(ISERROR(SEARCH("finalizado",I53)))</formula>
    </cfRule>
    <cfRule type="containsText" dxfId="888" priority="108" operator="containsText" text="em correção">
      <formula>NOT(ISERROR(SEARCH("em correção",I53)))</formula>
    </cfRule>
    <cfRule type="containsText" dxfId="887" priority="109" operator="containsText" text="editado pela TV">
      <formula>NOT(ISERROR(SEARCH("editado pela TV",I53)))</formula>
    </cfRule>
    <cfRule type="containsText" dxfId="886" priority="110" operator="containsText" text="em correção">
      <formula>NOT(ISERROR(SEARCH("em correção",I53)))</formula>
    </cfRule>
    <cfRule type="containsText" dxfId="885" priority="111" operator="containsText" text="enviado pelo prof">
      <formula>NOT(ISERROR(SEARCH("enviado pelo prof",I53)))</formula>
    </cfRule>
    <cfRule type="containsText" dxfId="884" priority="112" operator="containsText" text="vai gravar">
      <formula>NOT(ISERROR(SEARCH("vai gravar",I53)))</formula>
    </cfRule>
  </conditionalFormatting>
  <conditionalFormatting sqref="J9">
    <cfRule type="containsText" dxfId="883" priority="185" operator="containsText" text="em edição">
      <formula>NOT(ISERROR(SEARCH("em edição",J9)))</formula>
    </cfRule>
    <cfRule type="containsText" dxfId="882" priority="186" operator="containsText" text="procedimento interno">
      <formula>NOT(ISERROR(SEARCH("procedimento interno",J9)))</formula>
    </cfRule>
    <cfRule type="containsText" dxfId="881" priority="187" operator="containsText" text="finalizado">
      <formula>NOT(ISERROR(SEARCH("finalizado",J9)))</formula>
    </cfRule>
    <cfRule type="containsText" dxfId="880" priority="188" operator="containsText" text="em correção">
      <formula>NOT(ISERROR(SEARCH("em correção",J9)))</formula>
    </cfRule>
    <cfRule type="containsText" dxfId="879" priority="189" operator="containsText" text="editado pela TV">
      <formula>NOT(ISERROR(SEARCH("editado pela TV",J9)))</formula>
    </cfRule>
    <cfRule type="containsText" dxfId="878" priority="190" operator="containsText" text="em correção">
      <formula>NOT(ISERROR(SEARCH("em correção",J9)))</formula>
    </cfRule>
    <cfRule type="containsText" dxfId="877" priority="191" operator="containsText" text="enviado pelo prof">
      <formula>NOT(ISERROR(SEARCH("enviado pelo prof",J9)))</formula>
    </cfRule>
    <cfRule type="containsText" dxfId="876" priority="192" operator="containsText" text="vai gravar">
      <formula>NOT(ISERROR(SEARCH("vai gravar",J9)))</formula>
    </cfRule>
  </conditionalFormatting>
  <conditionalFormatting sqref="J18">
    <cfRule type="containsText" dxfId="875" priority="169" operator="containsText" text="em edição">
      <formula>NOT(ISERROR(SEARCH("em edição",J18)))</formula>
    </cfRule>
    <cfRule type="containsText" dxfId="874" priority="170" operator="containsText" text="procedimento interno">
      <formula>NOT(ISERROR(SEARCH("procedimento interno",J18)))</formula>
    </cfRule>
    <cfRule type="containsText" dxfId="873" priority="171" operator="containsText" text="finalizado">
      <formula>NOT(ISERROR(SEARCH("finalizado",J18)))</formula>
    </cfRule>
    <cfRule type="containsText" dxfId="872" priority="172" operator="containsText" text="em correção">
      <formula>NOT(ISERROR(SEARCH("em correção",J18)))</formula>
    </cfRule>
    <cfRule type="containsText" dxfId="871" priority="173" operator="containsText" text="editado pela TV">
      <formula>NOT(ISERROR(SEARCH("editado pela TV",J18)))</formula>
    </cfRule>
    <cfRule type="containsText" dxfId="870" priority="174" operator="containsText" text="em correção">
      <formula>NOT(ISERROR(SEARCH("em correção",J18)))</formula>
    </cfRule>
    <cfRule type="containsText" dxfId="869" priority="175" operator="containsText" text="enviado pelo prof">
      <formula>NOT(ISERROR(SEARCH("enviado pelo prof",J18)))</formula>
    </cfRule>
    <cfRule type="containsText" dxfId="868" priority="176" operator="containsText" text="vai gravar">
      <formula>NOT(ISERROR(SEARCH("vai gravar",J18)))</formula>
    </cfRule>
  </conditionalFormatting>
  <conditionalFormatting sqref="J35">
    <cfRule type="containsText" dxfId="867" priority="150" operator="containsText" text="em correção">
      <formula>NOT(ISERROR(SEARCH("em correção",J35)))</formula>
    </cfRule>
    <cfRule type="containsText" dxfId="866" priority="151" operator="containsText" text="em edição">
      <formula>NOT(ISERROR(SEARCH("em edição",J35)))</formula>
    </cfRule>
    <cfRule type="containsText" dxfId="865" priority="152" operator="containsText" text="procedimento interno">
      <formula>NOT(ISERROR(SEARCH("procedimento interno",J35)))</formula>
    </cfRule>
  </conditionalFormatting>
  <conditionalFormatting sqref="J52">
    <cfRule type="containsText" dxfId="864" priority="129" operator="containsText" text="em correção">
      <formula>NOT(ISERROR(SEARCH("em correção",J52)))</formula>
    </cfRule>
    <cfRule type="containsText" dxfId="863" priority="130" operator="containsText" text="em edição">
      <formula>NOT(ISERROR(SEARCH("em edição",J52)))</formula>
    </cfRule>
    <cfRule type="containsText" dxfId="862" priority="131" operator="containsText" text="procedimento interno">
      <formula>NOT(ISERROR(SEARCH("procedimento interno",J52)))</formula>
    </cfRule>
    <cfRule type="containsText" dxfId="861" priority="132" operator="containsText" text="finalizado">
      <formula>NOT(ISERROR(SEARCH("finalizado",J52)))</formula>
    </cfRule>
    <cfRule type="containsText" dxfId="860" priority="133" operator="containsText" text="editado pela TV">
      <formula>NOT(ISERROR(SEARCH("editado pela TV",J52)))</formula>
    </cfRule>
    <cfRule type="containsText" dxfId="859" priority="134" operator="containsText" text="em correção">
      <formula>NOT(ISERROR(SEARCH("em correção",J52)))</formula>
    </cfRule>
    <cfRule type="containsText" dxfId="858" priority="135" operator="containsText" text="enviado pelo prof">
      <formula>NOT(ISERROR(SEARCH("enviado pelo prof",J52)))</formula>
    </cfRule>
    <cfRule type="containsText" dxfId="857" priority="136" operator="containsText" text="vai gravar">
      <formula>NOT(ISERROR(SEARCH("vai gravar",J52)))</formula>
    </cfRule>
  </conditionalFormatting>
  <conditionalFormatting sqref="J74">
    <cfRule type="containsText" dxfId="856" priority="113" operator="containsText" text="em correção">
      <formula>NOT(ISERROR(SEARCH("em correção",J74)))</formula>
    </cfRule>
    <cfRule type="containsText" dxfId="855" priority="114" operator="containsText" text="em edição">
      <formula>NOT(ISERROR(SEARCH("em edição",J74)))</formula>
    </cfRule>
    <cfRule type="containsText" dxfId="854" priority="115" operator="containsText" text="procedimento interno">
      <formula>NOT(ISERROR(SEARCH("procedimento interno",J74)))</formula>
    </cfRule>
    <cfRule type="containsText" dxfId="853" priority="116" operator="containsText" text="finalizado">
      <formula>NOT(ISERROR(SEARCH("finalizado",J74)))</formula>
    </cfRule>
    <cfRule type="containsText" dxfId="852" priority="117" operator="containsText" text="editado pela TV">
      <formula>NOT(ISERROR(SEARCH("editado pela TV",J74)))</formula>
    </cfRule>
    <cfRule type="containsText" dxfId="851" priority="118" operator="containsText" text="em correção">
      <formula>NOT(ISERROR(SEARCH("em correção",J74)))</formula>
    </cfRule>
    <cfRule type="containsText" dxfId="850" priority="119" operator="containsText" text="enviado pelo prof">
      <formula>NOT(ISERROR(SEARCH("enviado pelo prof",J74)))</formula>
    </cfRule>
    <cfRule type="containsText" dxfId="849" priority="120" operator="containsText" text="vai gravar">
      <formula>NOT(ISERROR(SEARCH("vai gravar",J74)))</formula>
    </cfRule>
  </conditionalFormatting>
  <conditionalFormatting sqref="J103">
    <cfRule type="containsText" dxfId="848" priority="97" operator="containsText" text="em correção">
      <formula>NOT(ISERROR(SEARCH("em correção",J103)))</formula>
    </cfRule>
    <cfRule type="containsText" dxfId="847" priority="98" operator="containsText" text="em edição">
      <formula>NOT(ISERROR(SEARCH("em edição",J103)))</formula>
    </cfRule>
    <cfRule type="containsText" dxfId="846" priority="99" operator="containsText" text="procedimento interno">
      <formula>NOT(ISERROR(SEARCH("procedimento interno",J103)))</formula>
    </cfRule>
    <cfRule type="containsText" dxfId="845" priority="100" operator="containsText" text="finalizado">
      <formula>NOT(ISERROR(SEARCH("finalizado",J103)))</formula>
    </cfRule>
    <cfRule type="containsText" dxfId="844" priority="101" operator="containsText" text="editado pela TV">
      <formula>NOT(ISERROR(SEARCH("editado pela TV",J103)))</formula>
    </cfRule>
    <cfRule type="containsText" dxfId="843" priority="102" operator="containsText" text="em correção">
      <formula>NOT(ISERROR(SEARCH("em correção",J103)))</formula>
    </cfRule>
    <cfRule type="containsText" dxfId="842" priority="103" operator="containsText" text="enviado pelo prof">
      <formula>NOT(ISERROR(SEARCH("enviado pelo prof",J103)))</formula>
    </cfRule>
    <cfRule type="containsText" dxfId="841" priority="104" operator="containsText" text="vai gravar">
      <formula>NOT(ISERROR(SEARCH("vai gravar",J103)))</formula>
    </cfRule>
  </conditionalFormatting>
  <conditionalFormatting sqref="J118">
    <cfRule type="containsText" dxfId="840" priority="81" operator="containsText" text="em correção">
      <formula>NOT(ISERROR(SEARCH("em correção",J118)))</formula>
    </cfRule>
    <cfRule type="containsText" dxfId="839" priority="82" operator="containsText" text="em edição">
      <formula>NOT(ISERROR(SEARCH("em edição",J118)))</formula>
    </cfRule>
    <cfRule type="containsText" dxfId="838" priority="83" operator="containsText" text="procedimento interno">
      <formula>NOT(ISERROR(SEARCH("procedimento interno",J118)))</formula>
    </cfRule>
    <cfRule type="containsText" dxfId="837" priority="84" operator="containsText" text="finalizado">
      <formula>NOT(ISERROR(SEARCH("finalizado",J118)))</formula>
    </cfRule>
    <cfRule type="containsText" dxfId="836" priority="85" operator="containsText" text="editado pela TV">
      <formula>NOT(ISERROR(SEARCH("editado pela TV",J118)))</formula>
    </cfRule>
    <cfRule type="containsText" dxfId="835" priority="86" operator="containsText" text="em correção">
      <formula>NOT(ISERROR(SEARCH("em correção",J118)))</formula>
    </cfRule>
    <cfRule type="containsText" dxfId="834" priority="87" operator="containsText" text="enviado pelo prof">
      <formula>NOT(ISERROR(SEARCH("enviado pelo prof",J118)))</formula>
    </cfRule>
    <cfRule type="containsText" dxfId="833" priority="88" operator="containsText" text="vai gravar">
      <formula>NOT(ISERROR(SEARCH("vai gravar",J118)))</formula>
    </cfRule>
  </conditionalFormatting>
  <conditionalFormatting sqref="I11">
    <cfRule type="containsText" dxfId="832" priority="67" operator="containsText" text="finalizado">
      <formula>NOT(ISERROR(SEARCH("finalizado",I11)))</formula>
    </cfRule>
    <cfRule type="containsText" dxfId="831" priority="69" operator="containsText" text="editado pela TV">
      <formula>NOT(ISERROR(SEARCH("editado pela TV",I11)))</formula>
    </cfRule>
    <cfRule type="containsText" dxfId="830" priority="70" operator="containsText" text="em correção">
      <formula>NOT(ISERROR(SEARCH("em correção",I11)))</formula>
    </cfRule>
    <cfRule type="containsText" dxfId="829" priority="71" operator="containsText" text="enviado pelo prof">
      <formula>NOT(ISERROR(SEARCH("enviado pelo prof",I11)))</formula>
    </cfRule>
    <cfRule type="containsText" dxfId="828" priority="72" operator="containsText" text="vai gravar">
      <formula>NOT(ISERROR(SEARCH("vai gravar",I11)))</formula>
    </cfRule>
  </conditionalFormatting>
  <conditionalFormatting sqref="I11">
    <cfRule type="containsText" dxfId="827" priority="65" operator="containsText" text="em edição">
      <formula>NOT(ISERROR(SEARCH("em edição",I11)))</formula>
    </cfRule>
    <cfRule type="containsText" dxfId="826" priority="66" operator="containsText" text="procedimento interno">
      <formula>NOT(ISERROR(SEARCH("procedimento interno",I11)))</formula>
    </cfRule>
    <cfRule type="containsText" dxfId="825" priority="68" operator="containsText" text="em correção">
      <formula>NOT(ISERROR(SEARCH("em correção",I11)))</formula>
    </cfRule>
  </conditionalFormatting>
  <conditionalFormatting sqref="I13">
    <cfRule type="containsText" dxfId="824" priority="59" operator="containsText" text="finalizado">
      <formula>NOT(ISERROR(SEARCH("finalizado",I13)))</formula>
    </cfRule>
    <cfRule type="containsText" dxfId="823" priority="61" operator="containsText" text="editado pela TV">
      <formula>NOT(ISERROR(SEARCH("editado pela TV",I13)))</formula>
    </cfRule>
    <cfRule type="containsText" dxfId="822" priority="62" operator="containsText" text="em correção">
      <formula>NOT(ISERROR(SEARCH("em correção",I13)))</formula>
    </cfRule>
    <cfRule type="containsText" dxfId="821" priority="63" operator="containsText" text="enviado pelo prof">
      <formula>NOT(ISERROR(SEARCH("enviado pelo prof",I13)))</formula>
    </cfRule>
    <cfRule type="containsText" dxfId="820" priority="64" operator="containsText" text="vai gravar">
      <formula>NOT(ISERROR(SEARCH("vai gravar",I13)))</formula>
    </cfRule>
  </conditionalFormatting>
  <conditionalFormatting sqref="I13">
    <cfRule type="containsText" dxfId="819" priority="57" operator="containsText" text="em edição">
      <formula>NOT(ISERROR(SEARCH("em edição",I13)))</formula>
    </cfRule>
    <cfRule type="containsText" dxfId="818" priority="58" operator="containsText" text="procedimento interno">
      <formula>NOT(ISERROR(SEARCH("procedimento interno",I13)))</formula>
    </cfRule>
    <cfRule type="containsText" dxfId="817" priority="60" operator="containsText" text="em correção">
      <formula>NOT(ISERROR(SEARCH("em correção",I13)))</formula>
    </cfRule>
  </conditionalFormatting>
  <conditionalFormatting sqref="I14">
    <cfRule type="containsText" dxfId="816" priority="51" operator="containsText" text="finalizado">
      <formula>NOT(ISERROR(SEARCH("finalizado",I14)))</formula>
    </cfRule>
    <cfRule type="containsText" dxfId="815" priority="53" operator="containsText" text="editado pela TV">
      <formula>NOT(ISERROR(SEARCH("editado pela TV",I14)))</formula>
    </cfRule>
    <cfRule type="containsText" dxfId="814" priority="54" operator="containsText" text="em correção">
      <formula>NOT(ISERROR(SEARCH("em correção",I14)))</formula>
    </cfRule>
    <cfRule type="containsText" dxfId="813" priority="55" operator="containsText" text="enviado pelo prof">
      <formula>NOT(ISERROR(SEARCH("enviado pelo prof",I14)))</formula>
    </cfRule>
    <cfRule type="containsText" dxfId="812" priority="56" operator="containsText" text="vai gravar">
      <formula>NOT(ISERROR(SEARCH("vai gravar",I14)))</formula>
    </cfRule>
  </conditionalFormatting>
  <conditionalFormatting sqref="I14">
    <cfRule type="containsText" dxfId="811" priority="49" operator="containsText" text="em edição">
      <formula>NOT(ISERROR(SEARCH("em edição",I14)))</formula>
    </cfRule>
    <cfRule type="containsText" dxfId="810" priority="50" operator="containsText" text="procedimento interno">
      <formula>NOT(ISERROR(SEARCH("procedimento interno",I14)))</formula>
    </cfRule>
    <cfRule type="containsText" dxfId="809" priority="52" operator="containsText" text="em correção">
      <formula>NOT(ISERROR(SEARCH("em correção",I14)))</formula>
    </cfRule>
  </conditionalFormatting>
  <conditionalFormatting sqref="I15">
    <cfRule type="containsText" dxfId="808" priority="43" operator="containsText" text="finalizado">
      <formula>NOT(ISERROR(SEARCH("finalizado",I15)))</formula>
    </cfRule>
    <cfRule type="containsText" dxfId="807" priority="45" operator="containsText" text="editado pela TV">
      <formula>NOT(ISERROR(SEARCH("editado pela TV",I15)))</formula>
    </cfRule>
    <cfRule type="containsText" dxfId="806" priority="46" operator="containsText" text="em correção">
      <formula>NOT(ISERROR(SEARCH("em correção",I15)))</formula>
    </cfRule>
    <cfRule type="containsText" dxfId="805" priority="47" operator="containsText" text="enviado pelo prof">
      <formula>NOT(ISERROR(SEARCH("enviado pelo prof",I15)))</formula>
    </cfRule>
    <cfRule type="containsText" dxfId="804" priority="48" operator="containsText" text="vai gravar">
      <formula>NOT(ISERROR(SEARCH("vai gravar",I15)))</formula>
    </cfRule>
  </conditionalFormatting>
  <conditionalFormatting sqref="I15">
    <cfRule type="containsText" dxfId="803" priority="41" operator="containsText" text="em edição">
      <formula>NOT(ISERROR(SEARCH("em edição",I15)))</formula>
    </cfRule>
    <cfRule type="containsText" dxfId="802" priority="42" operator="containsText" text="procedimento interno">
      <formula>NOT(ISERROR(SEARCH("procedimento interno",I15)))</formula>
    </cfRule>
    <cfRule type="containsText" dxfId="801" priority="44" operator="containsText" text="em correção">
      <formula>NOT(ISERROR(SEARCH("em correção",I15)))</formula>
    </cfRule>
  </conditionalFormatting>
  <conditionalFormatting sqref="I16">
    <cfRule type="containsText" dxfId="800" priority="35" operator="containsText" text="finalizado">
      <formula>NOT(ISERROR(SEARCH("finalizado",I16)))</formula>
    </cfRule>
    <cfRule type="containsText" dxfId="799" priority="37" operator="containsText" text="editado pela TV">
      <formula>NOT(ISERROR(SEARCH("editado pela TV",I16)))</formula>
    </cfRule>
    <cfRule type="containsText" dxfId="798" priority="38" operator="containsText" text="em correção">
      <formula>NOT(ISERROR(SEARCH("em correção",I16)))</formula>
    </cfRule>
    <cfRule type="containsText" dxfId="797" priority="39" operator="containsText" text="enviado pelo prof">
      <formula>NOT(ISERROR(SEARCH("enviado pelo prof",I16)))</formula>
    </cfRule>
    <cfRule type="containsText" dxfId="796" priority="40" operator="containsText" text="vai gravar">
      <formula>NOT(ISERROR(SEARCH("vai gravar",I16)))</formula>
    </cfRule>
  </conditionalFormatting>
  <conditionalFormatting sqref="I16">
    <cfRule type="containsText" dxfId="795" priority="33" operator="containsText" text="em edição">
      <formula>NOT(ISERROR(SEARCH("em edição",I16)))</formula>
    </cfRule>
    <cfRule type="containsText" dxfId="794" priority="34" operator="containsText" text="procedimento interno">
      <formula>NOT(ISERROR(SEARCH("procedimento interno",I16)))</formula>
    </cfRule>
    <cfRule type="containsText" dxfId="793" priority="36" operator="containsText" text="em correção">
      <formula>NOT(ISERROR(SEARCH("em correção",I16)))</formula>
    </cfRule>
  </conditionalFormatting>
  <conditionalFormatting sqref="I54">
    <cfRule type="containsText" dxfId="792" priority="25" operator="containsText" text="em edição">
      <formula>NOT(ISERROR(SEARCH("em edição",I54)))</formula>
    </cfRule>
    <cfRule type="containsText" dxfId="791" priority="26" operator="containsText" text="procedimento interno">
      <formula>NOT(ISERROR(SEARCH("procedimento interno",I54)))</formula>
    </cfRule>
    <cfRule type="containsText" dxfId="790" priority="27" operator="containsText" text="finalizado">
      <formula>NOT(ISERROR(SEARCH("finalizado",I54)))</formula>
    </cfRule>
    <cfRule type="containsText" dxfId="789" priority="28" operator="containsText" text="em correção">
      <formula>NOT(ISERROR(SEARCH("em correção",I54)))</formula>
    </cfRule>
    <cfRule type="containsText" dxfId="788" priority="29" operator="containsText" text="editado pela TV">
      <formula>NOT(ISERROR(SEARCH("editado pela TV",I54)))</formula>
    </cfRule>
    <cfRule type="containsText" dxfId="787" priority="30" operator="containsText" text="em correção">
      <formula>NOT(ISERROR(SEARCH("em correção",I54)))</formula>
    </cfRule>
    <cfRule type="containsText" dxfId="786" priority="31" operator="containsText" text="enviado pelo prof">
      <formula>NOT(ISERROR(SEARCH("enviado pelo prof",I54)))</formula>
    </cfRule>
    <cfRule type="containsText" dxfId="785" priority="32" operator="containsText" text="vai gravar">
      <formula>NOT(ISERROR(SEARCH("vai gravar",I54)))</formula>
    </cfRule>
  </conditionalFormatting>
  <conditionalFormatting sqref="I57">
    <cfRule type="containsText" dxfId="784" priority="17" operator="containsText" text="em edição">
      <formula>NOT(ISERROR(SEARCH("em edição",I57)))</formula>
    </cfRule>
    <cfRule type="containsText" dxfId="783" priority="18" operator="containsText" text="procedimento interno">
      <formula>NOT(ISERROR(SEARCH("procedimento interno",I57)))</formula>
    </cfRule>
    <cfRule type="containsText" dxfId="782" priority="19" operator="containsText" text="finalizado">
      <formula>NOT(ISERROR(SEARCH("finalizado",I57)))</formula>
    </cfRule>
    <cfRule type="containsText" dxfId="781" priority="20" operator="containsText" text="em correção">
      <formula>NOT(ISERROR(SEARCH("em correção",I57)))</formula>
    </cfRule>
    <cfRule type="containsText" dxfId="780" priority="21" operator="containsText" text="editado pela TV">
      <formula>NOT(ISERROR(SEARCH("editado pela TV",I57)))</formula>
    </cfRule>
    <cfRule type="containsText" dxfId="779" priority="22" operator="containsText" text="em correção">
      <formula>NOT(ISERROR(SEARCH("em correção",I57)))</formula>
    </cfRule>
    <cfRule type="containsText" dxfId="778" priority="23" operator="containsText" text="enviado pelo prof">
      <formula>NOT(ISERROR(SEARCH("enviado pelo prof",I57)))</formula>
    </cfRule>
    <cfRule type="containsText" dxfId="777" priority="24" operator="containsText" text="vai gravar">
      <formula>NOT(ISERROR(SEARCH("vai gravar",I57)))</formula>
    </cfRule>
  </conditionalFormatting>
  <conditionalFormatting sqref="I72">
    <cfRule type="containsText" dxfId="776" priority="9" operator="containsText" text="em edição">
      <formula>NOT(ISERROR(SEARCH("em edição",I72)))</formula>
    </cfRule>
    <cfRule type="containsText" dxfId="775" priority="10" operator="containsText" text="procedimento interno">
      <formula>NOT(ISERROR(SEARCH("procedimento interno",I72)))</formula>
    </cfRule>
    <cfRule type="containsText" dxfId="774" priority="11" operator="containsText" text="finalizado">
      <formula>NOT(ISERROR(SEARCH("finalizado",I72)))</formula>
    </cfRule>
    <cfRule type="containsText" dxfId="773" priority="12" operator="containsText" text="em correção">
      <formula>NOT(ISERROR(SEARCH("em correção",I72)))</formula>
    </cfRule>
    <cfRule type="containsText" dxfId="772" priority="13" operator="containsText" text="editado pela TV">
      <formula>NOT(ISERROR(SEARCH("editado pela TV",I72)))</formula>
    </cfRule>
    <cfRule type="containsText" dxfId="771" priority="14" operator="containsText" text="em correção">
      <formula>NOT(ISERROR(SEARCH("em correção",I72)))</formula>
    </cfRule>
    <cfRule type="containsText" dxfId="770" priority="15" operator="containsText" text="enviado pelo prof">
      <formula>NOT(ISERROR(SEARCH("enviado pelo prof",I72)))</formula>
    </cfRule>
    <cfRule type="containsText" dxfId="769" priority="16" operator="containsText" text="vai gravar">
      <formula>NOT(ISERROR(SEARCH("vai gravar",I72)))</formula>
    </cfRule>
  </conditionalFormatting>
  <conditionalFormatting sqref="I73">
    <cfRule type="containsText" dxfId="768" priority="1" operator="containsText" text="em edição">
      <formula>NOT(ISERROR(SEARCH("em edição",I73)))</formula>
    </cfRule>
    <cfRule type="containsText" dxfId="767" priority="2" operator="containsText" text="procedimento interno">
      <formula>NOT(ISERROR(SEARCH("procedimento interno",I73)))</formula>
    </cfRule>
    <cfRule type="containsText" dxfId="766" priority="3" operator="containsText" text="finalizado">
      <formula>NOT(ISERROR(SEARCH("finalizado",I73)))</formula>
    </cfRule>
    <cfRule type="containsText" dxfId="765" priority="4" operator="containsText" text="em correção">
      <formula>NOT(ISERROR(SEARCH("em correção",I73)))</formula>
    </cfRule>
    <cfRule type="containsText" dxfId="764" priority="5" operator="containsText" text="editado pela TV">
      <formula>NOT(ISERROR(SEARCH("editado pela TV",I73)))</formula>
    </cfRule>
    <cfRule type="containsText" dxfId="763" priority="6" operator="containsText" text="em correção">
      <formula>NOT(ISERROR(SEARCH("em correção",I73)))</formula>
    </cfRule>
    <cfRule type="containsText" dxfId="762" priority="7" operator="containsText" text="enviado pelo prof">
      <formula>NOT(ISERROR(SEARCH("enviado pelo prof",I73)))</formula>
    </cfRule>
    <cfRule type="containsText" dxfId="761" priority="8" operator="containsText" text="vai gravar">
      <formula>NOT(ISERROR(SEARCH("vai gravar",I73)))</formula>
    </cfRule>
  </conditionalFormatting>
  <dataValidations count="1">
    <dataValidation type="list" allowBlank="1" showInputMessage="1" showErrorMessage="1" sqref="J9 J18 I2:I8 J35 I10:I17 J52 J74 J103 J118 I19:I34 I53:I73 I104:I117 I36:I51 I75:I102" xr:uid="{7AF5E3A6-1090-4B68-A633-7C21A5D21ABF}">
      <formula1>" editado pela TV,finalizado,em correção,enviado pelo prof,vai gravar,em edição,procedimento interno"</formula1>
    </dataValidation>
  </dataValidations>
  <hyperlinks>
    <hyperlink ref="G5" r:id="rId1" xr:uid="{70352ACC-9AE2-4BF7-81C8-BBC9D13DE1BF}"/>
    <hyperlink ref="G3" r:id="rId2" xr:uid="{A330458F-578D-4131-B8D7-E149A78D487F}"/>
    <hyperlink ref="G6" r:id="rId3" xr:uid="{8257550C-9111-468A-BD87-BE2840EBE226}"/>
    <hyperlink ref="G4" r:id="rId4" xr:uid="{124A10FB-96F1-4BFA-8102-2E1A9D30C0B4}"/>
    <hyperlink ref="G2" r:id="rId5" xr:uid="{B95617AC-4891-41E7-B672-2258AC3CD65C}"/>
    <hyperlink ref="G7" r:id="rId6" xr:uid="{EC311E4F-23A9-42A9-813F-AC58A45A9504}"/>
    <hyperlink ref="G8" r:id="rId7" xr:uid="{014B9761-3929-4AC5-B52E-A8F26B86E9B1}"/>
    <hyperlink ref="G15" r:id="rId8" xr:uid="{B9091272-1858-4CCC-8002-05CBB9FF2689}"/>
    <hyperlink ref="G16" r:id="rId9" xr:uid="{AA2DDF45-95E0-4C5F-A30A-E36B2D2A9ACA}"/>
    <hyperlink ref="G14" r:id="rId10" xr:uid="{F98297E6-75AD-492E-B230-074DDFDF8538}"/>
    <hyperlink ref="G13" r:id="rId11" xr:uid="{232A2952-8BF7-405F-842A-FEC97E3CCB79}"/>
    <hyperlink ref="G11" r:id="rId12" xr:uid="{4EF458EE-DFAD-4B82-B3AD-40AF10A6DF62}"/>
    <hyperlink ref="G21" r:id="rId13" xr:uid="{BA77F1DD-D208-4F7F-AB23-22FEC31879DE}"/>
    <hyperlink ref="G22" r:id="rId14" xr:uid="{D68A2D18-9D2D-4E6B-92E2-92F9D2751D25}"/>
    <hyperlink ref="G24" r:id="rId15" xr:uid="{0C82BA0F-A7B4-4468-9FAB-1630194D0383}"/>
    <hyperlink ref="G25" r:id="rId16" xr:uid="{7A9C9515-0C02-46D2-98A6-99028DAC84D2}"/>
    <hyperlink ref="G26" r:id="rId17" xr:uid="{389EB57F-E45D-4737-B02C-865E018273B0}"/>
    <hyperlink ref="G27" r:id="rId18" xr:uid="{8C45DF57-E011-43EC-B2CC-97EB3A9F0EDF}"/>
    <hyperlink ref="G29" r:id="rId19" xr:uid="{E2618E87-5DA9-4E85-A84D-CD57A835C6F1}"/>
    <hyperlink ref="G30" r:id="rId20" xr:uid="{123E8B94-AE25-43EE-A69C-887FE68F14D6}"/>
    <hyperlink ref="G55" r:id="rId21" xr:uid="{73514D14-F360-4382-84F6-33AEDE1E874F}"/>
    <hyperlink ref="G56" r:id="rId22" xr:uid="{B4DA55F1-9150-480A-BD06-420451D019DB}"/>
    <hyperlink ref="G61" r:id="rId23" xr:uid="{7E4BE7F5-6127-4646-8846-DB4480DD9C8D}"/>
    <hyperlink ref="G62" r:id="rId24" xr:uid="{218B3EEC-3385-4546-A36F-3E665845AE8B}"/>
    <hyperlink ref="G64" r:id="rId25" xr:uid="{5A45CA70-B01B-4D64-8BF5-7F1072DE58B2}"/>
    <hyperlink ref="G104" r:id="rId26" xr:uid="{A49421A8-08F8-4DED-BA18-7EC1F566ABA2}"/>
    <hyperlink ref="G105" r:id="rId27" xr:uid="{7AEA753D-E24F-4DE3-B5D9-B1276AE9A64D}"/>
    <hyperlink ref="G106" r:id="rId28" xr:uid="{AF539631-42CE-4026-AC8C-0585541B62B2}"/>
    <hyperlink ref="G107" r:id="rId29" xr:uid="{5C14C8AC-0E76-4E8A-BED0-470B65D18BCE}"/>
    <hyperlink ref="G108" r:id="rId30" xr:uid="{DD33B1AA-3745-410D-915F-2FABA7606A4A}"/>
    <hyperlink ref="G109" r:id="rId31" xr:uid="{BDB7D79A-06F6-426D-9166-A94DE0C8380C}"/>
    <hyperlink ref="G110" r:id="rId32" xr:uid="{BC8EF36E-4CD0-4E2E-B19F-BC4C0271EDEC}"/>
    <hyperlink ref="G111" r:id="rId33" xr:uid="{79860891-6A36-4FB4-A12F-D044373ECCEE}"/>
    <hyperlink ref="G112" r:id="rId34" xr:uid="{E210A365-7DD2-41C2-BA17-1FC4C4B647BE}"/>
    <hyperlink ref="G113" r:id="rId35" xr:uid="{38E41DBD-6BF0-41C6-873E-C13CEE5A043A}"/>
    <hyperlink ref="G58" r:id="rId36" xr:uid="{E2E962A9-D0C1-49E0-8FA6-4EC783525618}"/>
    <hyperlink ref="G59" r:id="rId37" xr:uid="{3DC2D7D4-FC3D-4B31-9801-258538F605C4}"/>
    <hyperlink ref="G65" r:id="rId38" xr:uid="{27048298-6146-451A-B5A8-C377A54D7A4C}"/>
    <hyperlink ref="G67" r:id="rId39" xr:uid="{CDC43E00-C062-4A89-8E2F-A7E5C7DED8D1}"/>
    <hyperlink ref="G19" r:id="rId40" xr:uid="{FFFDD6D6-96F8-4162-B7A2-CFCC525BF49E}"/>
    <hyperlink ref="G20" r:id="rId41" xr:uid="{B3CF35DE-B0D3-4E90-AC4D-1883B8F90155}"/>
    <hyperlink ref="G28" r:id="rId42" xr:uid="{8EDB56D1-B7D4-4E92-B536-CE12044E89D2}"/>
    <hyperlink ref="G23" r:id="rId43" xr:uid="{CCF1BC79-D22B-4A7A-8BC7-049F0FFE0552}"/>
    <hyperlink ref="G10" r:id="rId44" xr:uid="{16DD3674-C0E9-4C64-89D0-457D108EDF44}"/>
    <hyperlink ref="G38" r:id="rId45" xr:uid="{6ED550FF-EE12-4A43-B90D-26EA4CF3E2CD}"/>
    <hyperlink ref="G40" r:id="rId46" xr:uid="{F0238769-D401-4F51-A783-57E50850C9F4}"/>
    <hyperlink ref="H2" r:id="rId47" xr:uid="{AD2C0126-E107-4CDB-8D95-BD04B2876AA6}"/>
    <hyperlink ref="H3:H8" r:id="rId48" display="ok" xr:uid="{3FC46393-0231-4952-BD0A-BD16278A3A29}"/>
    <hyperlink ref="H36" r:id="rId49" xr:uid="{3337846D-E004-40FC-8075-4F120637488C}"/>
    <hyperlink ref="G42" r:id="rId50" xr:uid="{8B68E1CB-864C-474C-A501-BA5B07540EA6}"/>
    <hyperlink ref="G37" r:id="rId51" xr:uid="{5B038DA0-E92D-4750-B890-D56091C694DA}"/>
    <hyperlink ref="G32" r:id="rId52" xr:uid="{F6834103-A1CD-47AD-93FD-9B7EEB2F59FB}"/>
    <hyperlink ref="G34" r:id="rId53" xr:uid="{E37742BC-5000-4B34-BE05-FA7BDEDC3046}"/>
    <hyperlink ref="G12" r:id="rId54" xr:uid="{772D375B-D775-46B5-A769-E19A0EC90E37}"/>
    <hyperlink ref="H19" r:id="rId55" xr:uid="{F835A138-9D09-4455-8083-31108E3B3809}"/>
    <hyperlink ref="H20:H34" r:id="rId56" display="OK" xr:uid="{FE7C6DA7-DF7E-4345-BFF2-AB5CE1C6B3A1}"/>
    <hyperlink ref="G53" r:id="rId57" xr:uid="{34E6FDB3-77C3-45CF-B737-88DE37B70F21}"/>
    <hyperlink ref="G54" r:id="rId58" xr:uid="{4F3295CA-5DC4-4DDF-A309-BBFF21EE2459}"/>
    <hyperlink ref="H53" r:id="rId59" xr:uid="{34313F6B-D855-4E40-8157-DB82D3F53732}"/>
    <hyperlink ref="H104" r:id="rId60" xr:uid="{DCC81DB1-ACFF-4CCF-8258-C0FBF128047D}"/>
    <hyperlink ref="H10" r:id="rId61" xr:uid="{161F8C68-8F77-4BDD-828D-ED26306245F8}"/>
    <hyperlink ref="H11:H17" r:id="rId62" display="ok" xr:uid="{3B0DF191-B889-4DA4-B38B-56D30651DC68}"/>
    <hyperlink ref="G83" r:id="rId63" xr:uid="{AA6EB0FF-1B68-4C56-BB4A-B9570E3E60DD}"/>
    <hyperlink ref="G85" r:id="rId64" xr:uid="{59D3FFEA-8212-4BE2-9124-A25CEB33FE8A}"/>
    <hyperlink ref="G86" r:id="rId65" xr:uid="{5A428482-F150-4BD8-BDA1-D884CBD5F531}"/>
    <hyperlink ref="G87" r:id="rId66" xr:uid="{F349D4D2-9CF9-408A-97ED-E71CCF325611}"/>
    <hyperlink ref="G88" r:id="rId67" xr:uid="{779C83B4-CA2B-45CD-9949-ECBCF492E895}"/>
    <hyperlink ref="G84" r:id="rId68" xr:uid="{4BEFA109-B090-439C-8949-C3FD21319893}"/>
    <hyperlink ref="G57" r:id="rId69" xr:uid="{E44C2777-3151-410E-9744-93B41475DBDC}"/>
    <hyperlink ref="G63" r:id="rId70" xr:uid="{62449101-9323-4D67-94F2-114A3F9C35E3}"/>
    <hyperlink ref="G17" r:id="rId71" xr:uid="{1C22576C-0C8F-43B7-9A43-8832EAB73998}"/>
    <hyperlink ref="G39" r:id="rId72" xr:uid="{92FB7D51-C909-44C9-BDD6-2CC089D12EE6}"/>
    <hyperlink ref="G60" r:id="rId73" xr:uid="{22380A3D-0F62-48A0-A1E9-4F7654D775E3}"/>
    <hyperlink ref="G116" r:id="rId74" xr:uid="{D50AB1AF-C9DF-48D0-AA56-310F4394310C}"/>
    <hyperlink ref="G75" r:id="rId75" xr:uid="{D9A12FCE-E6F5-488A-80AD-08A6FECF656E}"/>
    <hyperlink ref="G82" r:id="rId76" xr:uid="{E34D5C80-30C1-455E-B69B-E0A1B6ED89AE}"/>
    <hyperlink ref="G43" r:id="rId77" xr:uid="{892FD52A-96F6-4EA4-A496-4443BB550336}"/>
    <hyperlink ref="H43" r:id="rId78" xr:uid="{DEB67BD7-BCE3-4FB7-BA66-758B98093254}"/>
    <hyperlink ref="G41" r:id="rId79" xr:uid="{C8EB0C0D-AABF-448F-9A3A-2D3ECC0B11C4}"/>
    <hyperlink ref="G90" r:id="rId80" xr:uid="{26881004-EF0A-4900-BB2C-AB2924D60F1A}"/>
    <hyperlink ref="G89" r:id="rId81" xr:uid="{F716612A-C982-4B1F-A4F7-FA99AAF65E93}"/>
    <hyperlink ref="G76" r:id="rId82" xr:uid="{AF83072A-0805-4666-BCCC-2DF774EC18A4}"/>
    <hyperlink ref="G68" r:id="rId83" xr:uid="{38861B89-EBF0-476B-88BF-4587BE119F6D}"/>
    <hyperlink ref="G81" r:id="rId84" xr:uid="{A01B4572-5C9F-4949-8A52-916EFB264FE0}"/>
    <hyperlink ref="G79" r:id="rId85" xr:uid="{BF237930-1709-4D9B-B75F-DD2D58DF0878}"/>
    <hyperlink ref="G80" r:id="rId86" xr:uid="{FEB8EB9B-0F58-4DD7-A2F8-6D29A4C387BB}"/>
    <hyperlink ref="G66" r:id="rId87" xr:uid="{E3EC8DA3-903F-4C89-942F-30E730A5E9FD}"/>
    <hyperlink ref="G33" r:id="rId88" xr:uid="{74F03114-1075-4966-8CE6-E986C643EF30}"/>
    <hyperlink ref="G49" r:id="rId89" xr:uid="{EEB4D037-589E-465D-B37F-960B553D8708}"/>
    <hyperlink ref="G77" r:id="rId90" xr:uid="{C34AB2D7-12B4-4D98-B43E-A95ED0E2DE50}"/>
    <hyperlink ref="G48" r:id="rId91" xr:uid="{C2F1CD25-B460-4370-9EF9-4F649A8064F7}"/>
    <hyperlink ref="G44" r:id="rId92" xr:uid="{10D3E6EA-C372-4499-A604-0B508CE61204}"/>
    <hyperlink ref="G72" r:id="rId93" xr:uid="{9801BA51-87F3-47F7-8560-12FA7121538B}"/>
    <hyperlink ref="G36" r:id="rId94" xr:uid="{A66EE016-26FD-42D8-A9E7-F15B5F9823B9}"/>
    <hyperlink ref="G46" r:id="rId95" xr:uid="{A3569EF1-7034-4669-81CA-1737F0F67692}"/>
    <hyperlink ref="G47" r:id="rId96" xr:uid="{3D92F5B5-CC5E-445E-9872-33AE3072159F}"/>
    <hyperlink ref="G50" r:id="rId97" xr:uid="{C41E7CE7-B5B6-4171-8FF2-1B9C09CB3C9F}"/>
    <hyperlink ref="G51" r:id="rId98" xr:uid="{420C747C-D74C-4C60-A855-054674491F7F}"/>
    <hyperlink ref="H44:H46" r:id="rId99" xr:uid="{FADCAF6F-CE89-4CAF-9282-9BCC46B0ABC1}"/>
    <hyperlink ref="H47" r:id="rId100" xr:uid="{194E12DD-3728-4EAC-97B4-FFA523279A4C}"/>
    <hyperlink ref="H48" r:id="rId101" xr:uid="{0DA1DE05-A8C2-4783-AF1D-A8BADF13ED47}"/>
    <hyperlink ref="H49:H51" r:id="rId102" xr:uid="{803E7595-9105-41DA-86BF-516ECE3C83A9}"/>
    <hyperlink ref="G31" r:id="rId103" xr:uid="{6C199413-F8B7-4336-8235-862D1211B248}"/>
    <hyperlink ref="G45" r:id="rId104" xr:uid="{2349120E-3DEC-4362-B151-A6AB34711364}"/>
    <hyperlink ref="G91" r:id="rId105" xr:uid="{92C793F9-F9EF-4D29-BA9E-D7E5CC281AF8}"/>
    <hyperlink ref="G92" r:id="rId106" xr:uid="{8EB4C17E-8E39-4703-AF7F-10C541BF13D3}"/>
    <hyperlink ref="G93" r:id="rId107" xr:uid="{461F8714-BAA3-45AE-9304-E2ADBC0A2D94}"/>
    <hyperlink ref="G95" r:id="rId108" xr:uid="{5FFBD4C3-3AF4-462E-A3D3-B61ACCC6A1A7}"/>
    <hyperlink ref="G94" r:id="rId109" xr:uid="{EE37BC89-F1D4-49E6-A458-535E56E1782D}"/>
    <hyperlink ref="G73" r:id="rId110" xr:uid="{EC457013-54AC-4BA6-9670-1F5938926610}"/>
    <hyperlink ref="G78" r:id="rId111" xr:uid="{CCE4B0B2-9CC7-43F3-9E61-0D12A4D2146D}"/>
    <hyperlink ref="G96" r:id="rId112" xr:uid="{92EA18DE-4005-4A6C-9800-711A6642CA63}"/>
    <hyperlink ref="G117" r:id="rId113" xr:uid="{8766A596-B90D-49DC-AA77-CB18C48B239E}"/>
    <hyperlink ref="G114" r:id="rId114" xr:uid="{3303BC93-04EB-4FD7-95FB-BCE09C7F9DB0}"/>
    <hyperlink ref="G115" r:id="rId115" xr:uid="{7F744093-7E24-4693-BA63-9649A0CC8AE4}"/>
    <hyperlink ref="G69" r:id="rId116" xr:uid="{FBAEE0AA-92F4-4626-9946-8A0DD0829B9C}"/>
    <hyperlink ref="G71" r:id="rId117" xr:uid="{FB59A730-9A02-4DCC-BCBF-647F97F6280F}"/>
    <hyperlink ref="G70" r:id="rId118" xr:uid="{76677E6D-3A43-46B2-9007-523318076C8D}"/>
    <hyperlink ref="G97" r:id="rId119" xr:uid="{81B36E6C-ABD8-4FBC-ADFD-5DA35865B2E2}"/>
    <hyperlink ref="G99" r:id="rId120" xr:uid="{B199DA31-2292-4CF0-80DF-4A6765848454}"/>
    <hyperlink ref="G98" r:id="rId121" xr:uid="{2624F554-C444-4070-9DB8-A4B00D0768CA}"/>
    <hyperlink ref="G100" r:id="rId122" xr:uid="{06A7415E-27CF-4910-B5AE-4AA3AB87B878}"/>
    <hyperlink ref="H114" r:id="rId123" xr:uid="{56DE0C4A-4FA1-41E8-ACC9-C8931A0CDB10}"/>
    <hyperlink ref="H115" r:id="rId124" xr:uid="{1A53D2DB-FA7F-4EDF-AA87-57CA81FEF302}"/>
    <hyperlink ref="H117" r:id="rId125" xr:uid="{C2686927-9BAC-4CBF-8784-4C2D74A8EB9B}"/>
    <hyperlink ref="G101" r:id="rId126" xr:uid="{0DE6B00E-F528-4EE5-A25B-7C33D5C8E272}"/>
    <hyperlink ref="G102" r:id="rId127" xr:uid="{B772EB2C-59C1-4AE3-8B26-5DCECF4B7DED}"/>
  </hyperlinks>
  <pageMargins left="0.511811024" right="0.511811024" top="0.78740157499999996" bottom="0.78740157499999996" header="0.31496062000000002" footer="0.31496062000000002"/>
  <legacyDrawing r:id="rId12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E4818-A783-462A-9CCC-069081F2C39D}">
  <dimension ref="A1:AA138"/>
  <sheetViews>
    <sheetView showGridLines="0" topLeftCell="A89" workbookViewId="0">
      <selection activeCell="I103" sqref="I103"/>
    </sheetView>
  </sheetViews>
  <sheetFormatPr defaultRowHeight="15"/>
  <cols>
    <col min="1" max="1" width="13.85546875" customWidth="1"/>
    <col min="2" max="2" width="14.28515625" customWidth="1"/>
    <col min="4" max="4" width="10" customWidth="1"/>
    <col min="5" max="5" width="50" style="91" customWidth="1"/>
    <col min="6" max="6" width="16" customWidth="1"/>
    <col min="7" max="7" width="33.42578125" style="1" customWidth="1"/>
    <col min="9" max="9" width="20" style="44" customWidth="1"/>
    <col min="11" max="11" width="16.140625" customWidth="1"/>
    <col min="12" max="12" width="9.28515625" style="1" bestFit="1" customWidth="1"/>
    <col min="13" max="13" width="16.85546875" style="39" customWidth="1"/>
    <col min="15" max="15" width="16.28515625" customWidth="1"/>
  </cols>
  <sheetData>
    <row r="1" spans="1:27" ht="24.75">
      <c r="A1" s="3" t="s">
        <v>171</v>
      </c>
      <c r="B1" s="3" t="s">
        <v>1</v>
      </c>
      <c r="C1" s="3" t="s">
        <v>172</v>
      </c>
      <c r="D1" s="3" t="s">
        <v>173</v>
      </c>
      <c r="E1" s="4" t="s">
        <v>174</v>
      </c>
      <c r="F1" s="3" t="s">
        <v>175</v>
      </c>
      <c r="G1" s="3" t="s">
        <v>176</v>
      </c>
      <c r="H1" s="4" t="s">
        <v>177</v>
      </c>
      <c r="I1" s="3" t="s">
        <v>178</v>
      </c>
      <c r="J1" s="4" t="s">
        <v>179</v>
      </c>
      <c r="K1" s="4" t="s">
        <v>180</v>
      </c>
      <c r="L1" s="3" t="s">
        <v>181</v>
      </c>
      <c r="M1" s="4" t="s">
        <v>182</v>
      </c>
      <c r="N1" s="40" t="s">
        <v>3</v>
      </c>
      <c r="O1" s="5"/>
      <c r="P1" s="5"/>
      <c r="Q1" s="5"/>
      <c r="R1" s="5"/>
      <c r="S1" s="5"/>
      <c r="T1" s="5"/>
      <c r="U1" s="5"/>
      <c r="V1" s="5"/>
      <c r="W1" s="5"/>
      <c r="X1" s="5"/>
      <c r="Y1" s="5"/>
      <c r="Z1" s="5"/>
      <c r="AA1" s="2"/>
    </row>
    <row r="2" spans="1:27">
      <c r="A2" s="537" t="s">
        <v>36</v>
      </c>
      <c r="B2" s="563" t="s">
        <v>37</v>
      </c>
      <c r="C2" s="533" t="s">
        <v>245</v>
      </c>
      <c r="D2" s="19" t="s">
        <v>217</v>
      </c>
      <c r="E2" s="20" t="s">
        <v>576</v>
      </c>
      <c r="F2" s="142"/>
      <c r="G2" s="99" t="s">
        <v>577</v>
      </c>
      <c r="H2" s="21" t="s">
        <v>248</v>
      </c>
      <c r="I2" s="28" t="s">
        <v>188</v>
      </c>
      <c r="J2" s="29" t="s">
        <v>187</v>
      </c>
      <c r="K2" s="110" t="s">
        <v>578</v>
      </c>
      <c r="L2" s="81">
        <v>3.460648148148148E-3</v>
      </c>
      <c r="M2" s="548" t="str">
        <f>VLOOKUP(A2,Geral!$A$1:$D$36,3,FALSE)</f>
        <v>Júlio Cezar Estrella</v>
      </c>
    </row>
    <row r="3" spans="1:27">
      <c r="A3" s="538"/>
      <c r="B3" s="564"/>
      <c r="C3" s="532"/>
      <c r="D3" s="22" t="s">
        <v>184</v>
      </c>
      <c r="E3" s="20" t="s">
        <v>579</v>
      </c>
      <c r="F3" s="142"/>
      <c r="G3" s="99" t="s">
        <v>580</v>
      </c>
      <c r="H3" s="21" t="s">
        <v>248</v>
      </c>
      <c r="I3" s="28" t="s">
        <v>188</v>
      </c>
      <c r="J3" s="29" t="s">
        <v>187</v>
      </c>
      <c r="K3" s="110" t="s">
        <v>581</v>
      </c>
      <c r="L3" s="81">
        <v>1.3726851851851851E-2</v>
      </c>
      <c r="M3" s="543"/>
    </row>
    <row r="4" spans="1:27">
      <c r="A4" s="538"/>
      <c r="B4" s="564"/>
      <c r="C4" s="532"/>
      <c r="D4" s="22" t="s">
        <v>190</v>
      </c>
      <c r="E4" s="20" t="s">
        <v>582</v>
      </c>
      <c r="F4" s="24"/>
      <c r="G4" s="99" t="s">
        <v>583</v>
      </c>
      <c r="H4" s="21" t="s">
        <v>248</v>
      </c>
      <c r="I4" s="28" t="s">
        <v>188</v>
      </c>
      <c r="J4" s="29" t="s">
        <v>187</v>
      </c>
      <c r="K4" s="110" t="s">
        <v>584</v>
      </c>
      <c r="L4" s="81">
        <v>1.1805555555555555E-2</v>
      </c>
      <c r="M4" s="543"/>
    </row>
    <row r="5" spans="1:27">
      <c r="A5" s="538"/>
      <c r="B5" s="564"/>
      <c r="C5" s="532"/>
      <c r="D5" s="22" t="s">
        <v>195</v>
      </c>
      <c r="E5" s="20" t="s">
        <v>585</v>
      </c>
      <c r="F5" s="24"/>
      <c r="G5" s="99" t="s">
        <v>586</v>
      </c>
      <c r="H5" s="21" t="s">
        <v>248</v>
      </c>
      <c r="I5" s="28" t="s">
        <v>188</v>
      </c>
      <c r="J5" s="29" t="s">
        <v>187</v>
      </c>
      <c r="K5" s="110" t="s">
        <v>587</v>
      </c>
      <c r="L5" s="81">
        <v>1.525462962962963E-2</v>
      </c>
      <c r="M5" s="543"/>
    </row>
    <row r="6" spans="1:27">
      <c r="A6" s="538"/>
      <c r="B6" s="564"/>
      <c r="C6" s="532" t="s">
        <v>256</v>
      </c>
      <c r="D6" s="25" t="s">
        <v>199</v>
      </c>
      <c r="E6" s="32" t="s">
        <v>588</v>
      </c>
      <c r="F6" s="143"/>
      <c r="G6" s="121" t="s">
        <v>589</v>
      </c>
      <c r="H6" s="21" t="s">
        <v>248</v>
      </c>
      <c r="I6" s="28" t="s">
        <v>188</v>
      </c>
      <c r="J6" s="156" t="s">
        <v>187</v>
      </c>
      <c r="K6" s="110" t="s">
        <v>590</v>
      </c>
      <c r="L6" s="81">
        <v>1.1041666666666667E-2</v>
      </c>
      <c r="M6" s="543"/>
    </row>
    <row r="7" spans="1:27">
      <c r="A7" s="538"/>
      <c r="B7" s="564"/>
      <c r="C7" s="532"/>
      <c r="D7" s="25" t="s">
        <v>204</v>
      </c>
      <c r="E7" s="32" t="s">
        <v>591</v>
      </c>
      <c r="F7" s="143"/>
      <c r="G7" s="121" t="s">
        <v>592</v>
      </c>
      <c r="H7" s="21" t="s">
        <v>248</v>
      </c>
      <c r="I7" s="28" t="s">
        <v>188</v>
      </c>
      <c r="J7" s="156" t="s">
        <v>187</v>
      </c>
      <c r="K7" s="110" t="s">
        <v>593</v>
      </c>
      <c r="L7" s="81">
        <v>1.4456018518518519E-2</v>
      </c>
      <c r="M7" s="543"/>
    </row>
    <row r="8" spans="1:27">
      <c r="A8" s="538"/>
      <c r="B8" s="564"/>
      <c r="C8" s="532"/>
      <c r="D8" s="25" t="s">
        <v>208</v>
      </c>
      <c r="E8" s="32" t="s">
        <v>594</v>
      </c>
      <c r="F8" s="143"/>
      <c r="G8" s="99" t="s">
        <v>595</v>
      </c>
      <c r="H8" s="21" t="s">
        <v>248</v>
      </c>
      <c r="I8" s="28" t="s">
        <v>188</v>
      </c>
      <c r="J8" s="29" t="s">
        <v>187</v>
      </c>
      <c r="K8" s="110" t="s">
        <v>596</v>
      </c>
      <c r="L8" s="81">
        <v>1.0069444444444445E-2</v>
      </c>
      <c r="M8" s="543"/>
    </row>
    <row r="9" spans="1:27">
      <c r="A9" s="538"/>
      <c r="B9" s="564"/>
      <c r="C9" s="532" t="s">
        <v>266</v>
      </c>
      <c r="D9" s="22" t="s">
        <v>213</v>
      </c>
      <c r="E9" s="89" t="s">
        <v>597</v>
      </c>
      <c r="F9" s="30"/>
      <c r="G9" s="99" t="s">
        <v>598</v>
      </c>
      <c r="H9" s="21" t="s">
        <v>248</v>
      </c>
      <c r="I9" s="28" t="s">
        <v>188</v>
      </c>
      <c r="J9" s="29" t="s">
        <v>187</v>
      </c>
      <c r="K9" s="110" t="s">
        <v>599</v>
      </c>
      <c r="L9" s="81">
        <v>1.105324074074074E-2</v>
      </c>
      <c r="M9" s="543"/>
    </row>
    <row r="10" spans="1:27">
      <c r="A10" s="538"/>
      <c r="B10" s="564"/>
      <c r="C10" s="532"/>
      <c r="D10" s="22" t="s">
        <v>270</v>
      </c>
      <c r="E10" s="31" t="s">
        <v>600</v>
      </c>
      <c r="F10" s="30"/>
      <c r="G10" s="99" t="s">
        <v>601</v>
      </c>
      <c r="H10" s="21" t="s">
        <v>248</v>
      </c>
      <c r="I10" s="28" t="s">
        <v>188</v>
      </c>
      <c r="J10" s="29" t="s">
        <v>187</v>
      </c>
      <c r="K10" s="110" t="s">
        <v>602</v>
      </c>
      <c r="L10" s="81">
        <v>1.2812499999999999E-2</v>
      </c>
      <c r="M10" s="543"/>
    </row>
    <row r="11" spans="1:27">
      <c r="A11" s="538"/>
      <c r="B11" s="564"/>
      <c r="C11" s="532"/>
      <c r="D11" s="22" t="s">
        <v>274</v>
      </c>
      <c r="E11" s="32" t="s">
        <v>603</v>
      </c>
      <c r="F11" s="143"/>
      <c r="G11" s="96" t="s">
        <v>604</v>
      </c>
      <c r="H11" s="21" t="s">
        <v>248</v>
      </c>
      <c r="I11" s="28" t="s">
        <v>188</v>
      </c>
      <c r="J11" s="29" t="s">
        <v>187</v>
      </c>
      <c r="K11" s="10" t="s">
        <v>605</v>
      </c>
      <c r="L11" s="81">
        <v>1.1469907407407408E-2</v>
      </c>
      <c r="M11" s="543"/>
    </row>
    <row r="12" spans="1:27">
      <c r="A12" s="538"/>
      <c r="B12" s="564"/>
      <c r="C12" s="532" t="s">
        <v>278</v>
      </c>
      <c r="D12" s="25" t="s">
        <v>279</v>
      </c>
      <c r="E12" s="32" t="s">
        <v>606</v>
      </c>
      <c r="F12" s="143"/>
      <c r="G12" s="99" t="s">
        <v>607</v>
      </c>
      <c r="H12" s="21" t="s">
        <v>248</v>
      </c>
      <c r="I12" s="28" t="s">
        <v>188</v>
      </c>
      <c r="J12" s="29" t="s">
        <v>187</v>
      </c>
      <c r="K12" s="110" t="s">
        <v>608</v>
      </c>
      <c r="L12" s="81">
        <v>8.7500000000000008E-3</v>
      </c>
      <c r="M12" s="543"/>
    </row>
    <row r="13" spans="1:27">
      <c r="A13" s="538"/>
      <c r="B13" s="564"/>
      <c r="C13" s="532"/>
      <c r="D13" s="25" t="s">
        <v>283</v>
      </c>
      <c r="E13" s="32" t="s">
        <v>609</v>
      </c>
      <c r="F13" s="143"/>
      <c r="G13" s="99" t="s">
        <v>610</v>
      </c>
      <c r="H13" s="21" t="s">
        <v>248</v>
      </c>
      <c r="I13" s="28" t="s">
        <v>188</v>
      </c>
      <c r="J13" s="29" t="s">
        <v>187</v>
      </c>
      <c r="K13" s="110" t="s">
        <v>611</v>
      </c>
      <c r="L13" s="81">
        <v>1.193287037037037E-2</v>
      </c>
      <c r="M13" s="543"/>
    </row>
    <row r="14" spans="1:27">
      <c r="A14" s="538"/>
      <c r="B14" s="564"/>
      <c r="C14" s="532"/>
      <c r="D14" s="25" t="s">
        <v>287</v>
      </c>
      <c r="E14" s="31" t="s">
        <v>612</v>
      </c>
      <c r="F14" s="30"/>
      <c r="G14" s="99" t="s">
        <v>613</v>
      </c>
      <c r="H14" s="21" t="s">
        <v>248</v>
      </c>
      <c r="I14" s="28" t="s">
        <v>188</v>
      </c>
      <c r="J14" s="29" t="s">
        <v>187</v>
      </c>
      <c r="K14" s="110" t="s">
        <v>614</v>
      </c>
      <c r="L14" s="81">
        <v>9.5370370370370366E-3</v>
      </c>
      <c r="M14" s="543"/>
    </row>
    <row r="15" spans="1:27">
      <c r="A15" s="538"/>
      <c r="B15" s="564"/>
      <c r="C15" s="532" t="s">
        <v>291</v>
      </c>
      <c r="D15" s="22" t="s">
        <v>292</v>
      </c>
      <c r="E15" s="31" t="s">
        <v>615</v>
      </c>
      <c r="F15" s="30"/>
      <c r="G15" s="99" t="s">
        <v>616</v>
      </c>
      <c r="H15" s="21" t="s">
        <v>248</v>
      </c>
      <c r="I15" s="28" t="s">
        <v>188</v>
      </c>
      <c r="J15" s="29" t="s">
        <v>187</v>
      </c>
      <c r="K15" s="110" t="s">
        <v>617</v>
      </c>
      <c r="L15" s="81">
        <v>1.0069444444444445E-2</v>
      </c>
      <c r="M15" s="543"/>
    </row>
    <row r="16" spans="1:27">
      <c r="A16" s="538"/>
      <c r="B16" s="564"/>
      <c r="C16" s="532"/>
      <c r="D16" s="22" t="s">
        <v>297</v>
      </c>
      <c r="E16" s="31" t="s">
        <v>618</v>
      </c>
      <c r="F16" s="143"/>
      <c r="G16" s="99" t="s">
        <v>619</v>
      </c>
      <c r="H16" s="21" t="s">
        <v>248</v>
      </c>
      <c r="I16" s="28" t="s">
        <v>188</v>
      </c>
      <c r="J16" s="29" t="s">
        <v>187</v>
      </c>
      <c r="K16" s="110" t="s">
        <v>620</v>
      </c>
      <c r="L16" s="81">
        <v>9.9421296296296289E-3</v>
      </c>
      <c r="M16" s="543"/>
    </row>
    <row r="17" spans="1:13">
      <c r="A17" s="538"/>
      <c r="B17" s="564"/>
      <c r="C17" s="534"/>
      <c r="D17" s="33" t="s">
        <v>301</v>
      </c>
      <c r="E17" s="35" t="s">
        <v>621</v>
      </c>
      <c r="F17" s="144"/>
      <c r="G17" s="96" t="s">
        <v>622</v>
      </c>
      <c r="H17" s="21" t="s">
        <v>248</v>
      </c>
      <c r="I17" s="28" t="s">
        <v>188</v>
      </c>
      <c r="J17" s="29" t="s">
        <v>187</v>
      </c>
      <c r="K17" s="10" t="s">
        <v>623</v>
      </c>
      <c r="L17" s="81">
        <v>1.3252314814814814E-2</v>
      </c>
      <c r="M17" s="543"/>
    </row>
    <row r="18" spans="1:13">
      <c r="A18" s="538"/>
      <c r="B18" s="564"/>
      <c r="C18" s="533" t="s">
        <v>305</v>
      </c>
      <c r="D18" s="25" t="s">
        <v>306</v>
      </c>
      <c r="E18" s="35" t="s">
        <v>624</v>
      </c>
      <c r="F18" s="145"/>
      <c r="G18" s="99" t="s">
        <v>625</v>
      </c>
      <c r="H18" s="21" t="s">
        <v>248</v>
      </c>
      <c r="I18" s="28" t="s">
        <v>188</v>
      </c>
      <c r="J18" s="29" t="s">
        <v>187</v>
      </c>
      <c r="K18" s="110" t="s">
        <v>626</v>
      </c>
      <c r="L18" s="81">
        <v>1.1122685185185185E-2</v>
      </c>
      <c r="M18" s="543"/>
    </row>
    <row r="19" spans="1:13">
      <c r="A19" s="538"/>
      <c r="B19" s="564"/>
      <c r="C19" s="532"/>
      <c r="D19" s="25" t="s">
        <v>425</v>
      </c>
      <c r="E19" s="35" t="s">
        <v>627</v>
      </c>
      <c r="F19" s="144"/>
      <c r="G19" s="99" t="s">
        <v>628</v>
      </c>
      <c r="H19" s="21" t="s">
        <v>248</v>
      </c>
      <c r="I19" s="28" t="s">
        <v>188</v>
      </c>
      <c r="J19" s="29" t="s">
        <v>187</v>
      </c>
      <c r="K19" s="110" t="s">
        <v>629</v>
      </c>
      <c r="L19" s="81">
        <v>1.0960648148148148E-2</v>
      </c>
      <c r="M19" s="543"/>
    </row>
    <row r="20" spans="1:13">
      <c r="A20" s="538"/>
      <c r="B20" s="564"/>
      <c r="C20" s="534"/>
      <c r="D20" s="25" t="s">
        <v>429</v>
      </c>
      <c r="E20" s="36" t="s">
        <v>630</v>
      </c>
      <c r="F20" s="136"/>
      <c r="G20" s="99" t="s">
        <v>631</v>
      </c>
      <c r="H20" s="21" t="s">
        <v>248</v>
      </c>
      <c r="I20" s="28" t="s">
        <v>188</v>
      </c>
      <c r="J20" s="29" t="s">
        <v>187</v>
      </c>
      <c r="K20" s="110" t="s">
        <v>632</v>
      </c>
      <c r="L20" s="81">
        <v>1.2650462962962962E-2</v>
      </c>
      <c r="M20" s="543"/>
    </row>
    <row r="21" spans="1:13">
      <c r="A21" s="538"/>
      <c r="B21" s="564"/>
      <c r="C21" s="533" t="s">
        <v>365</v>
      </c>
      <c r="D21" s="22" t="s">
        <v>433</v>
      </c>
      <c r="E21" s="36" t="s">
        <v>633</v>
      </c>
      <c r="F21" s="136"/>
      <c r="G21" s="99" t="s">
        <v>634</v>
      </c>
      <c r="H21" s="21" t="s">
        <v>248</v>
      </c>
      <c r="I21" s="28" t="s">
        <v>188</v>
      </c>
      <c r="J21" s="29" t="s">
        <v>187</v>
      </c>
      <c r="K21" s="105" t="s">
        <v>635</v>
      </c>
      <c r="L21" s="81">
        <v>1.3958333333333333E-2</v>
      </c>
      <c r="M21" s="543"/>
    </row>
    <row r="22" spans="1:13">
      <c r="A22" s="538"/>
      <c r="B22" s="564"/>
      <c r="C22" s="532"/>
      <c r="D22" s="22" t="s">
        <v>437</v>
      </c>
      <c r="E22" s="36" t="s">
        <v>636</v>
      </c>
      <c r="F22" s="136"/>
      <c r="G22" s="99" t="s">
        <v>637</v>
      </c>
      <c r="H22" s="21" t="s">
        <v>248</v>
      </c>
      <c r="I22" s="28" t="s">
        <v>188</v>
      </c>
      <c r="J22" s="29" t="s">
        <v>187</v>
      </c>
      <c r="K22" s="105" t="s">
        <v>638</v>
      </c>
      <c r="L22" s="81">
        <v>1.3101851851851852E-2</v>
      </c>
      <c r="M22" s="543"/>
    </row>
    <row r="23" spans="1:13">
      <c r="A23" s="566"/>
      <c r="B23" s="570"/>
      <c r="C23" s="532"/>
      <c r="D23" s="22" t="s">
        <v>639</v>
      </c>
      <c r="E23" s="36" t="s">
        <v>640</v>
      </c>
      <c r="F23" s="136"/>
      <c r="G23" s="99" t="s">
        <v>641</v>
      </c>
      <c r="H23" s="21" t="s">
        <v>248</v>
      </c>
      <c r="I23" s="28" t="s">
        <v>188</v>
      </c>
      <c r="J23" s="29" t="s">
        <v>187</v>
      </c>
      <c r="K23" s="110" t="s">
        <v>642</v>
      </c>
      <c r="L23" s="81">
        <v>9.7337962962962959E-3</v>
      </c>
      <c r="M23" s="569"/>
    </row>
    <row r="24" spans="1:13">
      <c r="A24" s="13"/>
      <c r="B24" s="38"/>
      <c r="C24" s="15"/>
      <c r="D24" s="15"/>
      <c r="E24" s="90"/>
      <c r="F24" s="15"/>
      <c r="G24" s="17"/>
      <c r="H24" s="15"/>
      <c r="I24" s="15"/>
      <c r="J24" s="16"/>
      <c r="K24" s="16"/>
      <c r="L24" s="16"/>
      <c r="M24" s="17"/>
    </row>
    <row r="25" spans="1:13">
      <c r="A25" s="537" t="s">
        <v>40</v>
      </c>
      <c r="B25" s="565" t="s">
        <v>41</v>
      </c>
      <c r="C25" s="533" t="s">
        <v>245</v>
      </c>
      <c r="D25" s="19" t="s">
        <v>217</v>
      </c>
      <c r="E25" s="35" t="s">
        <v>185</v>
      </c>
      <c r="F25" s="142"/>
      <c r="G25" s="99" t="s">
        <v>643</v>
      </c>
      <c r="H25" s="21" t="s">
        <v>248</v>
      </c>
      <c r="I25" s="28" t="s">
        <v>188</v>
      </c>
      <c r="J25" s="10" t="s">
        <v>187</v>
      </c>
      <c r="K25" s="105" t="s">
        <v>644</v>
      </c>
      <c r="L25" s="128">
        <v>1.724537037037037E-3</v>
      </c>
      <c r="M25" s="548" t="str">
        <f>VLOOKUP(A25,Geral!$A$1:$D$36,3,FALSE)</f>
        <v>Renato da Costa dos Santos</v>
      </c>
    </row>
    <row r="26" spans="1:13">
      <c r="A26" s="538"/>
      <c r="B26" s="546"/>
      <c r="C26" s="532"/>
      <c r="D26" s="22" t="s">
        <v>184</v>
      </c>
      <c r="E26" s="35" t="s">
        <v>645</v>
      </c>
      <c r="F26" s="24"/>
      <c r="G26" s="99" t="s">
        <v>646</v>
      </c>
      <c r="H26" s="21" t="s">
        <v>248</v>
      </c>
      <c r="I26" s="28" t="s">
        <v>188</v>
      </c>
      <c r="J26" s="10" t="s">
        <v>187</v>
      </c>
      <c r="K26" s="105" t="s">
        <v>647</v>
      </c>
      <c r="L26" s="128">
        <v>7.1296296296296299E-3</v>
      </c>
      <c r="M26" s="543"/>
    </row>
    <row r="27" spans="1:13">
      <c r="A27" s="538"/>
      <c r="B27" s="546"/>
      <c r="C27" s="532"/>
      <c r="D27" s="22" t="s">
        <v>190</v>
      </c>
      <c r="E27" s="35" t="s">
        <v>648</v>
      </c>
      <c r="F27" s="24"/>
      <c r="G27" s="99" t="s">
        <v>649</v>
      </c>
      <c r="H27" s="21" t="s">
        <v>248</v>
      </c>
      <c r="I27" s="28" t="s">
        <v>188</v>
      </c>
      <c r="J27" s="10" t="s">
        <v>187</v>
      </c>
      <c r="K27" s="105" t="s">
        <v>650</v>
      </c>
      <c r="L27" s="81">
        <v>9.2129629629629627E-3</v>
      </c>
      <c r="M27" s="543"/>
    </row>
    <row r="28" spans="1:13" ht="30.75">
      <c r="A28" s="538"/>
      <c r="B28" s="546"/>
      <c r="C28" s="532"/>
      <c r="D28" s="22" t="s">
        <v>195</v>
      </c>
      <c r="E28" s="35" t="s">
        <v>651</v>
      </c>
      <c r="F28" s="24"/>
      <c r="G28" s="99" t="s">
        <v>652</v>
      </c>
      <c r="H28" s="21" t="s">
        <v>248</v>
      </c>
      <c r="I28" s="28" t="s">
        <v>188</v>
      </c>
      <c r="J28" s="10" t="s">
        <v>187</v>
      </c>
      <c r="K28" s="105" t="s">
        <v>653</v>
      </c>
      <c r="L28" s="81">
        <v>1.1041666666666667E-2</v>
      </c>
      <c r="M28" s="543"/>
    </row>
    <row r="29" spans="1:13">
      <c r="A29" s="538"/>
      <c r="B29" s="546"/>
      <c r="C29" s="532" t="s">
        <v>256</v>
      </c>
      <c r="D29" s="25" t="s">
        <v>199</v>
      </c>
      <c r="E29" s="35" t="s">
        <v>654</v>
      </c>
      <c r="F29" s="143"/>
      <c r="G29" s="99" t="s">
        <v>655</v>
      </c>
      <c r="H29" s="21" t="s">
        <v>248</v>
      </c>
      <c r="I29" s="28" t="s">
        <v>188</v>
      </c>
      <c r="J29" s="28" t="s">
        <v>187</v>
      </c>
      <c r="K29" s="105" t="s">
        <v>656</v>
      </c>
      <c r="L29" s="81">
        <v>1.2233796296296296E-2</v>
      </c>
      <c r="M29" s="543"/>
    </row>
    <row r="30" spans="1:13">
      <c r="A30" s="538"/>
      <c r="B30" s="546"/>
      <c r="C30" s="532"/>
      <c r="D30" s="25" t="s">
        <v>204</v>
      </c>
      <c r="E30" s="35" t="s">
        <v>657</v>
      </c>
      <c r="F30" s="143"/>
      <c r="G30" s="99" t="s">
        <v>658</v>
      </c>
      <c r="H30" s="21" t="s">
        <v>248</v>
      </c>
      <c r="I30" s="28" t="s">
        <v>188</v>
      </c>
      <c r="J30" s="28" t="s">
        <v>187</v>
      </c>
      <c r="K30" s="105" t="s">
        <v>659</v>
      </c>
      <c r="L30" s="81">
        <v>8.9699074074074073E-3</v>
      </c>
      <c r="M30" s="543"/>
    </row>
    <row r="31" spans="1:13" ht="15.75" customHeight="1">
      <c r="A31" s="538"/>
      <c r="B31" s="546"/>
      <c r="C31" s="532"/>
      <c r="D31" s="25" t="s">
        <v>208</v>
      </c>
      <c r="E31" s="35" t="s">
        <v>660</v>
      </c>
      <c r="F31" s="143"/>
      <c r="G31" s="99" t="s">
        <v>661</v>
      </c>
      <c r="H31" s="21" t="s">
        <v>248</v>
      </c>
      <c r="I31" s="28" t="s">
        <v>188</v>
      </c>
      <c r="J31" s="29" t="s">
        <v>187</v>
      </c>
      <c r="K31" s="105" t="s">
        <v>662</v>
      </c>
      <c r="L31" s="81">
        <v>1.2025462962962963E-2</v>
      </c>
      <c r="M31" s="543"/>
    </row>
    <row r="32" spans="1:13">
      <c r="A32" s="538"/>
      <c r="B32" s="546"/>
      <c r="C32" s="532" t="s">
        <v>266</v>
      </c>
      <c r="D32" s="22" t="s">
        <v>213</v>
      </c>
      <c r="E32" s="35" t="s">
        <v>663</v>
      </c>
      <c r="F32" s="30"/>
      <c r="G32" s="99" t="s">
        <v>664</v>
      </c>
      <c r="H32" s="21" t="s">
        <v>248</v>
      </c>
      <c r="I32" s="28" t="s">
        <v>188</v>
      </c>
      <c r="J32" s="29" t="s">
        <v>187</v>
      </c>
      <c r="K32" s="105" t="s">
        <v>665</v>
      </c>
      <c r="L32" s="81">
        <v>1.0219907407407407E-2</v>
      </c>
      <c r="M32" s="543"/>
    </row>
    <row r="33" spans="1:15">
      <c r="A33" s="538"/>
      <c r="B33" s="546"/>
      <c r="C33" s="532"/>
      <c r="D33" s="22" t="s">
        <v>270</v>
      </c>
      <c r="E33" s="35" t="s">
        <v>666</v>
      </c>
      <c r="F33" s="30"/>
      <c r="G33" s="99" t="s">
        <v>667</v>
      </c>
      <c r="H33" s="21" t="s">
        <v>248</v>
      </c>
      <c r="I33" s="28" t="s">
        <v>188</v>
      </c>
      <c r="J33" s="29" t="s">
        <v>187</v>
      </c>
      <c r="K33" s="2" t="s">
        <v>668</v>
      </c>
      <c r="L33" s="81">
        <v>1.1111111111111112E-2</v>
      </c>
      <c r="M33" s="543"/>
      <c r="O33" s="43"/>
    </row>
    <row r="34" spans="1:15">
      <c r="A34" s="538"/>
      <c r="B34" s="546"/>
      <c r="C34" s="532"/>
      <c r="D34" s="22" t="s">
        <v>274</v>
      </c>
      <c r="E34" s="35" t="s">
        <v>669</v>
      </c>
      <c r="F34" s="143"/>
      <c r="G34" s="99" t="s">
        <v>670</v>
      </c>
      <c r="H34" s="21" t="s">
        <v>248</v>
      </c>
      <c r="I34" s="28" t="s">
        <v>188</v>
      </c>
      <c r="J34" s="28" t="s">
        <v>187</v>
      </c>
      <c r="K34" s="105" t="s">
        <v>671</v>
      </c>
      <c r="L34" s="128">
        <v>9.5486111111111119E-3</v>
      </c>
      <c r="M34" s="543"/>
    </row>
    <row r="35" spans="1:15">
      <c r="A35" s="538"/>
      <c r="B35" s="546"/>
      <c r="C35" s="532" t="s">
        <v>278</v>
      </c>
      <c r="D35" s="25" t="s">
        <v>279</v>
      </c>
      <c r="E35" s="35" t="s">
        <v>672</v>
      </c>
      <c r="F35" s="143"/>
      <c r="G35" s="99" t="s">
        <v>673</v>
      </c>
      <c r="H35" s="21" t="s">
        <v>248</v>
      </c>
      <c r="I35" s="28" t="s">
        <v>188</v>
      </c>
      <c r="J35" s="28" t="s">
        <v>187</v>
      </c>
      <c r="K35" s="105" t="s">
        <v>674</v>
      </c>
      <c r="L35" s="128">
        <v>1.0474537037037037E-2</v>
      </c>
      <c r="M35" s="543"/>
    </row>
    <row r="36" spans="1:15">
      <c r="A36" s="538"/>
      <c r="B36" s="546"/>
      <c r="C36" s="532"/>
      <c r="D36" s="25" t="s">
        <v>283</v>
      </c>
      <c r="E36" s="35" t="s">
        <v>675</v>
      </c>
      <c r="F36" s="143"/>
      <c r="G36" s="99" t="s">
        <v>676</v>
      </c>
      <c r="H36" s="21" t="s">
        <v>248</v>
      </c>
      <c r="I36" s="28" t="s">
        <v>188</v>
      </c>
      <c r="J36" s="28" t="s">
        <v>187</v>
      </c>
      <c r="K36" s="105" t="s">
        <v>677</v>
      </c>
      <c r="L36" s="128">
        <v>1.0763888888888889E-2</v>
      </c>
      <c r="M36" s="543"/>
    </row>
    <row r="37" spans="1:15">
      <c r="A37" s="538"/>
      <c r="B37" s="546"/>
      <c r="C37" s="532"/>
      <c r="D37" s="25" t="s">
        <v>287</v>
      </c>
      <c r="E37" s="35" t="s">
        <v>678</v>
      </c>
      <c r="F37" s="30"/>
      <c r="G37" s="99" t="s">
        <v>679</v>
      </c>
      <c r="H37" s="21" t="s">
        <v>248</v>
      </c>
      <c r="I37" s="28" t="s">
        <v>188</v>
      </c>
      <c r="J37" s="28" t="s">
        <v>187</v>
      </c>
      <c r="K37" s="105" t="s">
        <v>680</v>
      </c>
      <c r="L37" s="81">
        <v>9.3402777777777772E-3</v>
      </c>
      <c r="M37" s="543"/>
    </row>
    <row r="38" spans="1:15">
      <c r="A38" s="538"/>
      <c r="B38" s="546"/>
      <c r="C38" s="532" t="s">
        <v>291</v>
      </c>
      <c r="D38" s="22" t="s">
        <v>292</v>
      </c>
      <c r="E38" s="35" t="s">
        <v>681</v>
      </c>
      <c r="F38" s="30"/>
      <c r="G38" s="99" t="s">
        <v>682</v>
      </c>
      <c r="H38" s="21" t="s">
        <v>248</v>
      </c>
      <c r="I38" s="28" t="s">
        <v>188</v>
      </c>
      <c r="J38" s="28" t="s">
        <v>187</v>
      </c>
      <c r="K38" s="105" t="s">
        <v>683</v>
      </c>
      <c r="L38" s="81">
        <v>1.1307870370370371E-2</v>
      </c>
      <c r="M38" s="543"/>
    </row>
    <row r="39" spans="1:15">
      <c r="A39" s="538"/>
      <c r="B39" s="546"/>
      <c r="C39" s="532"/>
      <c r="D39" s="22" t="s">
        <v>297</v>
      </c>
      <c r="E39" s="35" t="s">
        <v>684</v>
      </c>
      <c r="F39" s="143"/>
      <c r="G39" s="99" t="s">
        <v>685</v>
      </c>
      <c r="H39" s="21" t="s">
        <v>248</v>
      </c>
      <c r="I39" s="28" t="s">
        <v>188</v>
      </c>
      <c r="J39" s="28" t="s">
        <v>187</v>
      </c>
      <c r="K39" s="105" t="s">
        <v>686</v>
      </c>
      <c r="L39" s="81">
        <v>1.1481481481481481E-2</v>
      </c>
      <c r="M39" s="543"/>
    </row>
    <row r="40" spans="1:15">
      <c r="A40" s="538"/>
      <c r="B40" s="546"/>
      <c r="C40" s="534"/>
      <c r="D40" s="33" t="s">
        <v>301</v>
      </c>
      <c r="E40" s="35" t="s">
        <v>687</v>
      </c>
      <c r="F40" s="144"/>
      <c r="G40" s="99" t="s">
        <v>688</v>
      </c>
      <c r="H40" s="21" t="s">
        <v>248</v>
      </c>
      <c r="I40" s="28" t="s">
        <v>188</v>
      </c>
      <c r="J40" s="28" t="s">
        <v>187</v>
      </c>
      <c r="K40" s="105" t="s">
        <v>689</v>
      </c>
      <c r="L40" s="81">
        <v>9.1898148148148156E-3</v>
      </c>
      <c r="M40" s="543"/>
    </row>
    <row r="41" spans="1:15">
      <c r="A41" s="538"/>
      <c r="B41" s="546"/>
      <c r="C41" s="533" t="s">
        <v>305</v>
      </c>
      <c r="D41" s="25" t="s">
        <v>306</v>
      </c>
      <c r="E41" s="35" t="s">
        <v>690</v>
      </c>
      <c r="F41" s="144" t="s">
        <v>691</v>
      </c>
      <c r="G41" s="99" t="s">
        <v>692</v>
      </c>
      <c r="H41" s="21" t="s">
        <v>248</v>
      </c>
      <c r="I41" s="28" t="s">
        <v>188</v>
      </c>
      <c r="J41" s="28" t="s">
        <v>187</v>
      </c>
      <c r="K41" s="105" t="s">
        <v>693</v>
      </c>
      <c r="L41" s="128">
        <v>7.7314814814814815E-3</v>
      </c>
      <c r="M41" s="543"/>
    </row>
    <row r="42" spans="1:15">
      <c r="A42" s="538"/>
      <c r="B42" s="546"/>
      <c r="C42" s="532"/>
      <c r="D42" s="25" t="s">
        <v>425</v>
      </c>
      <c r="E42" s="35" t="s">
        <v>694</v>
      </c>
      <c r="F42" s="144"/>
      <c r="G42" s="99" t="s">
        <v>695</v>
      </c>
      <c r="H42" s="21" t="s">
        <v>248</v>
      </c>
      <c r="I42" s="28" t="s">
        <v>188</v>
      </c>
      <c r="J42" s="28" t="s">
        <v>187</v>
      </c>
      <c r="K42" s="105" t="s">
        <v>696</v>
      </c>
      <c r="L42" s="81">
        <v>1.1030092592592593E-2</v>
      </c>
      <c r="M42" s="543"/>
    </row>
    <row r="43" spans="1:15" ht="30.75">
      <c r="A43" s="538"/>
      <c r="B43" s="546"/>
      <c r="C43" s="534"/>
      <c r="D43" s="25" t="s">
        <v>429</v>
      </c>
      <c r="E43" s="35" t="s">
        <v>697</v>
      </c>
      <c r="F43" s="136"/>
      <c r="G43" s="99" t="s">
        <v>698</v>
      </c>
      <c r="H43" s="21" t="s">
        <v>248</v>
      </c>
      <c r="I43" s="28" t="s">
        <v>188</v>
      </c>
      <c r="J43" s="110" t="s">
        <v>187</v>
      </c>
      <c r="K43" s="105" t="s">
        <v>699</v>
      </c>
      <c r="L43" s="81">
        <v>1.1064814814814816E-2</v>
      </c>
      <c r="M43" s="543"/>
    </row>
    <row r="44" spans="1:15" ht="30.75">
      <c r="A44" s="538"/>
      <c r="B44" s="546"/>
      <c r="C44" s="533" t="s">
        <v>365</v>
      </c>
      <c r="D44" s="22" t="s">
        <v>433</v>
      </c>
      <c r="E44" s="35" t="s">
        <v>700</v>
      </c>
      <c r="F44" s="136" t="s">
        <v>691</v>
      </c>
      <c r="G44" s="96" t="s">
        <v>701</v>
      </c>
      <c r="H44" s="21" t="s">
        <v>248</v>
      </c>
      <c r="I44" s="28" t="s">
        <v>188</v>
      </c>
      <c r="J44" s="28" t="s">
        <v>187</v>
      </c>
      <c r="K44" s="105" t="s">
        <v>702</v>
      </c>
      <c r="L44" s="128">
        <v>6.4236111111111108E-3</v>
      </c>
      <c r="M44" s="543"/>
    </row>
    <row r="45" spans="1:15" ht="30.75">
      <c r="A45" s="538"/>
      <c r="B45" s="546"/>
      <c r="C45" s="532"/>
      <c r="D45" s="22" t="s">
        <v>437</v>
      </c>
      <c r="E45" s="35" t="s">
        <v>703</v>
      </c>
      <c r="F45" s="136"/>
      <c r="G45" s="99" t="s">
        <v>704</v>
      </c>
      <c r="H45" s="21" t="s">
        <v>248</v>
      </c>
      <c r="I45" s="28" t="s">
        <v>188</v>
      </c>
      <c r="J45" s="28" t="s">
        <v>187</v>
      </c>
      <c r="K45" s="105" t="s">
        <v>705</v>
      </c>
      <c r="L45" s="81">
        <v>8.819444444444444E-3</v>
      </c>
      <c r="M45" s="543"/>
    </row>
    <row r="46" spans="1:15" ht="45.75">
      <c r="A46" s="566"/>
      <c r="B46" s="571"/>
      <c r="C46" s="532"/>
      <c r="D46" s="22" t="s">
        <v>639</v>
      </c>
      <c r="E46" s="35" t="s">
        <v>706</v>
      </c>
      <c r="F46" s="136"/>
      <c r="G46" s="99" t="s">
        <v>707</v>
      </c>
      <c r="H46" s="21" t="s">
        <v>248</v>
      </c>
      <c r="I46" s="28" t="s">
        <v>188</v>
      </c>
      <c r="J46" s="28" t="s">
        <v>187</v>
      </c>
      <c r="K46" s="105" t="s">
        <v>708</v>
      </c>
      <c r="L46" s="81">
        <v>7.7777777777777776E-3</v>
      </c>
      <c r="M46" s="569"/>
    </row>
    <row r="47" spans="1:15">
      <c r="A47" s="13"/>
      <c r="B47" s="38"/>
      <c r="C47" s="15"/>
      <c r="D47" s="15"/>
      <c r="E47" s="90"/>
      <c r="F47" s="15"/>
      <c r="G47" s="17"/>
      <c r="H47" s="15"/>
      <c r="I47" s="15"/>
      <c r="J47" s="16"/>
      <c r="K47" s="16"/>
      <c r="L47" s="16"/>
      <c r="M47" s="17"/>
    </row>
    <row r="48" spans="1:15" ht="15" customHeight="1">
      <c r="A48" s="537" t="s">
        <v>44</v>
      </c>
      <c r="B48" s="563" t="s">
        <v>45</v>
      </c>
      <c r="C48" s="533" t="s">
        <v>245</v>
      </c>
      <c r="D48" s="92" t="s">
        <v>217</v>
      </c>
      <c r="E48" s="35" t="s">
        <v>185</v>
      </c>
      <c r="F48" s="142"/>
      <c r="G48" s="99" t="s">
        <v>709</v>
      </c>
      <c r="H48" s="21" t="s">
        <v>565</v>
      </c>
      <c r="I48" s="28" t="s">
        <v>188</v>
      </c>
      <c r="J48" s="10" t="s">
        <v>187</v>
      </c>
      <c r="K48" s="105" t="s">
        <v>710</v>
      </c>
      <c r="L48" s="81">
        <v>1.4699074074074074E-3</v>
      </c>
      <c r="M48" s="548" t="str">
        <f>VLOOKUP(A48,Geral!$A$1:$D$36,3,FALSE)</f>
        <v>Renato da Costa dos Santos</v>
      </c>
    </row>
    <row r="49" spans="1:13" ht="30.75">
      <c r="A49" s="538"/>
      <c r="B49" s="564"/>
      <c r="C49" s="532"/>
      <c r="D49" s="93" t="s">
        <v>184</v>
      </c>
      <c r="E49" s="35" t="s">
        <v>711</v>
      </c>
      <c r="F49" s="24"/>
      <c r="G49" s="99" t="s">
        <v>712</v>
      </c>
      <c r="H49" s="21" t="s">
        <v>565</v>
      </c>
      <c r="I49" s="28" t="s">
        <v>188</v>
      </c>
      <c r="J49" s="10" t="s">
        <v>187</v>
      </c>
      <c r="K49" s="105" t="s">
        <v>713</v>
      </c>
      <c r="L49" s="81">
        <v>1.3784722222222223E-2</v>
      </c>
      <c r="M49" s="543"/>
    </row>
    <row r="50" spans="1:13" ht="30.75">
      <c r="A50" s="538"/>
      <c r="B50" s="564"/>
      <c r="C50" s="532"/>
      <c r="D50" s="93" t="s">
        <v>190</v>
      </c>
      <c r="E50" s="35" t="s">
        <v>714</v>
      </c>
      <c r="F50" s="24"/>
      <c r="G50" s="99" t="s">
        <v>715</v>
      </c>
      <c r="H50" s="21" t="s">
        <v>565</v>
      </c>
      <c r="I50" s="28" t="s">
        <v>188</v>
      </c>
      <c r="J50" s="10" t="s">
        <v>187</v>
      </c>
      <c r="K50" s="105" t="s">
        <v>716</v>
      </c>
      <c r="L50" s="81">
        <v>1.1076388888888889E-2</v>
      </c>
      <c r="M50" s="543"/>
    </row>
    <row r="51" spans="1:13" ht="30.75">
      <c r="A51" s="538"/>
      <c r="B51" s="564"/>
      <c r="C51" s="532"/>
      <c r="D51" s="93" t="s">
        <v>195</v>
      </c>
      <c r="E51" s="35" t="s">
        <v>717</v>
      </c>
      <c r="F51" s="24"/>
      <c r="G51" s="99" t="s">
        <v>718</v>
      </c>
      <c r="H51" s="21" t="s">
        <v>565</v>
      </c>
      <c r="I51" s="28" t="s">
        <v>188</v>
      </c>
      <c r="J51" s="10" t="s">
        <v>187</v>
      </c>
      <c r="K51" s="105" t="s">
        <v>719</v>
      </c>
      <c r="L51" s="128">
        <v>1.0659722222222221E-2</v>
      </c>
      <c r="M51" s="543"/>
    </row>
    <row r="52" spans="1:13">
      <c r="A52" s="538"/>
      <c r="B52" s="564"/>
      <c r="C52" s="532" t="s">
        <v>256</v>
      </c>
      <c r="D52" s="93" t="s">
        <v>199</v>
      </c>
      <c r="E52" s="35" t="s">
        <v>720</v>
      </c>
      <c r="F52" s="143"/>
      <c r="G52" s="99" t="s">
        <v>721</v>
      </c>
      <c r="H52" s="21" t="s">
        <v>565</v>
      </c>
      <c r="I52" s="28" t="s">
        <v>188</v>
      </c>
      <c r="J52" s="28" t="s">
        <v>187</v>
      </c>
      <c r="K52" s="105" t="s">
        <v>722</v>
      </c>
      <c r="L52" s="81">
        <v>1.2986111111111111E-2</v>
      </c>
      <c r="M52" s="543"/>
    </row>
    <row r="53" spans="1:13" ht="30.75">
      <c r="A53" s="538"/>
      <c r="B53" s="564"/>
      <c r="C53" s="532"/>
      <c r="D53" s="93" t="s">
        <v>204</v>
      </c>
      <c r="E53" s="35" t="s">
        <v>723</v>
      </c>
      <c r="F53" s="143"/>
      <c r="G53" s="99" t="s">
        <v>724</v>
      </c>
      <c r="H53" s="21" t="s">
        <v>565</v>
      </c>
      <c r="I53" s="28" t="s">
        <v>188</v>
      </c>
      <c r="J53" s="28" t="s">
        <v>187</v>
      </c>
      <c r="K53" s="105" t="s">
        <v>725</v>
      </c>
      <c r="L53" s="81">
        <v>1.2766203703703703E-2</v>
      </c>
      <c r="M53" s="543"/>
    </row>
    <row r="54" spans="1:13">
      <c r="A54" s="538"/>
      <c r="B54" s="564"/>
      <c r="C54" s="532"/>
      <c r="D54" s="93" t="s">
        <v>208</v>
      </c>
      <c r="E54" s="35" t="s">
        <v>726</v>
      </c>
      <c r="F54" s="143"/>
      <c r="G54" s="215" t="s">
        <v>727</v>
      </c>
      <c r="H54" s="21" t="s">
        <v>565</v>
      </c>
      <c r="I54" s="28" t="s">
        <v>188</v>
      </c>
      <c r="J54" s="29" t="s">
        <v>187</v>
      </c>
      <c r="K54" s="105" t="s">
        <v>728</v>
      </c>
      <c r="L54" s="81">
        <v>1.4409722222222223E-2</v>
      </c>
      <c r="M54" s="543"/>
    </row>
    <row r="55" spans="1:13">
      <c r="A55" s="538"/>
      <c r="B55" s="564"/>
      <c r="C55" s="532" t="s">
        <v>266</v>
      </c>
      <c r="D55" s="93" t="s">
        <v>213</v>
      </c>
      <c r="E55" s="35" t="s">
        <v>729</v>
      </c>
      <c r="F55" s="30"/>
      <c r="G55" s="99" t="s">
        <v>730</v>
      </c>
      <c r="H55" s="21" t="s">
        <v>565</v>
      </c>
      <c r="I55" s="28" t="s">
        <v>188</v>
      </c>
      <c r="J55" s="29" t="s">
        <v>187</v>
      </c>
      <c r="K55" s="105" t="s">
        <v>731</v>
      </c>
      <c r="L55" s="81">
        <v>1.3287037037037036E-2</v>
      </c>
      <c r="M55" s="543"/>
    </row>
    <row r="56" spans="1:13" ht="30.75">
      <c r="A56" s="538"/>
      <c r="B56" s="564"/>
      <c r="C56" s="532"/>
      <c r="D56" s="93" t="s">
        <v>270</v>
      </c>
      <c r="E56" s="35" t="s">
        <v>732</v>
      </c>
      <c r="F56" s="30"/>
      <c r="G56" s="99" t="s">
        <v>733</v>
      </c>
      <c r="H56" s="21" t="s">
        <v>565</v>
      </c>
      <c r="I56" s="28" t="s">
        <v>188</v>
      </c>
      <c r="J56" s="29" t="s">
        <v>187</v>
      </c>
      <c r="K56" s="105" t="s">
        <v>734</v>
      </c>
      <c r="L56" s="81">
        <v>1.2719907407407407E-2</v>
      </c>
      <c r="M56" s="543"/>
    </row>
    <row r="57" spans="1:13" ht="30.75">
      <c r="A57" s="538"/>
      <c r="B57" s="564"/>
      <c r="C57" s="532"/>
      <c r="D57" s="93" t="s">
        <v>274</v>
      </c>
      <c r="E57" s="35" t="s">
        <v>735</v>
      </c>
      <c r="F57" s="143"/>
      <c r="G57" s="99" t="s">
        <v>736</v>
      </c>
      <c r="H57" s="21" t="s">
        <v>565</v>
      </c>
      <c r="I57" s="28" t="s">
        <v>188</v>
      </c>
      <c r="J57" s="28" t="s">
        <v>187</v>
      </c>
      <c r="K57" s="105" t="s">
        <v>737</v>
      </c>
      <c r="L57" s="128">
        <v>1.2858796296296297E-2</v>
      </c>
      <c r="M57" s="543"/>
    </row>
    <row r="58" spans="1:13">
      <c r="A58" s="538"/>
      <c r="B58" s="564"/>
      <c r="C58" s="532" t="s">
        <v>278</v>
      </c>
      <c r="D58" s="93" t="s">
        <v>279</v>
      </c>
      <c r="E58" s="35" t="s">
        <v>738</v>
      </c>
      <c r="F58" s="143"/>
      <c r="G58" s="99" t="s">
        <v>739</v>
      </c>
      <c r="H58" s="21" t="s">
        <v>565</v>
      </c>
      <c r="I58" s="28" t="s">
        <v>188</v>
      </c>
      <c r="J58" s="28" t="s">
        <v>187</v>
      </c>
      <c r="K58" s="105" t="s">
        <v>740</v>
      </c>
      <c r="L58" s="128">
        <v>1.2708333333333334E-2</v>
      </c>
      <c r="M58" s="543"/>
    </row>
    <row r="59" spans="1:13" ht="30.75">
      <c r="A59" s="538"/>
      <c r="B59" s="564"/>
      <c r="C59" s="532"/>
      <c r="D59" s="93" t="s">
        <v>283</v>
      </c>
      <c r="E59" s="35" t="s">
        <v>741</v>
      </c>
      <c r="F59" s="143"/>
      <c r="G59" s="99" t="s">
        <v>742</v>
      </c>
      <c r="H59" s="21" t="s">
        <v>565</v>
      </c>
      <c r="I59" s="28" t="s">
        <v>188</v>
      </c>
      <c r="J59" s="28" t="s">
        <v>187</v>
      </c>
      <c r="K59" s="105" t="s">
        <v>743</v>
      </c>
      <c r="L59" s="81">
        <v>1.0497685185185185E-2</v>
      </c>
      <c r="M59" s="543"/>
    </row>
    <row r="60" spans="1:13" ht="45.75">
      <c r="A60" s="538"/>
      <c r="B60" s="564"/>
      <c r="C60" s="532"/>
      <c r="D60" s="93" t="s">
        <v>287</v>
      </c>
      <c r="E60" s="35" t="s">
        <v>744</v>
      </c>
      <c r="F60" s="30"/>
      <c r="G60" s="99" t="s">
        <v>745</v>
      </c>
      <c r="H60" s="21" t="s">
        <v>565</v>
      </c>
      <c r="I60" s="28" t="s">
        <v>188</v>
      </c>
      <c r="J60" s="28" t="s">
        <v>187</v>
      </c>
      <c r="K60" s="105" t="s">
        <v>746</v>
      </c>
      <c r="L60" s="81">
        <v>0.01</v>
      </c>
      <c r="M60" s="543"/>
    </row>
    <row r="61" spans="1:13">
      <c r="A61" s="538"/>
      <c r="B61" s="564"/>
      <c r="C61" s="532" t="s">
        <v>291</v>
      </c>
      <c r="D61" s="93" t="s">
        <v>292</v>
      </c>
      <c r="E61" s="35" t="s">
        <v>747</v>
      </c>
      <c r="F61" s="30"/>
      <c r="G61" s="99" t="s">
        <v>748</v>
      </c>
      <c r="H61" s="21" t="s">
        <v>565</v>
      </c>
      <c r="I61" s="28" t="s">
        <v>188</v>
      </c>
      <c r="J61" s="28" t="s">
        <v>187</v>
      </c>
      <c r="K61" s="105" t="s">
        <v>749</v>
      </c>
      <c r="L61" s="81">
        <v>9.0856481481481483E-3</v>
      </c>
      <c r="M61" s="543"/>
    </row>
    <row r="62" spans="1:13">
      <c r="A62" s="538"/>
      <c r="B62" s="564"/>
      <c r="C62" s="532"/>
      <c r="D62" s="93" t="s">
        <v>297</v>
      </c>
      <c r="E62" s="35" t="s">
        <v>750</v>
      </c>
      <c r="F62" s="143"/>
      <c r="G62" s="99" t="s">
        <v>751</v>
      </c>
      <c r="H62" s="21" t="s">
        <v>565</v>
      </c>
      <c r="I62" s="28" t="s">
        <v>188</v>
      </c>
      <c r="J62" s="28" t="s">
        <v>187</v>
      </c>
      <c r="K62" s="105" t="s">
        <v>752</v>
      </c>
      <c r="L62" s="81">
        <v>8.2175925925925923E-3</v>
      </c>
      <c r="M62" s="543"/>
    </row>
    <row r="63" spans="1:13">
      <c r="A63" s="538"/>
      <c r="B63" s="564"/>
      <c r="C63" s="534"/>
      <c r="D63" s="93" t="s">
        <v>301</v>
      </c>
      <c r="E63" s="35" t="s">
        <v>753</v>
      </c>
      <c r="F63" s="144"/>
      <c r="G63" s="99" t="s">
        <v>754</v>
      </c>
      <c r="H63" s="21" t="s">
        <v>565</v>
      </c>
      <c r="I63" s="28" t="s">
        <v>188</v>
      </c>
      <c r="J63" s="28" t="s">
        <v>187</v>
      </c>
      <c r="K63" s="105" t="s">
        <v>755</v>
      </c>
      <c r="L63" s="128">
        <v>8.0787037037037043E-3</v>
      </c>
      <c r="M63" s="543"/>
    </row>
    <row r="64" spans="1:13" ht="30.75">
      <c r="A64" s="538"/>
      <c r="B64" s="564"/>
      <c r="C64" s="533" t="s">
        <v>305</v>
      </c>
      <c r="D64" s="93" t="s">
        <v>306</v>
      </c>
      <c r="E64" s="35" t="s">
        <v>756</v>
      </c>
      <c r="F64" s="144"/>
      <c r="G64" s="99" t="s">
        <v>757</v>
      </c>
      <c r="H64" s="21" t="s">
        <v>565</v>
      </c>
      <c r="I64" s="28" t="s">
        <v>188</v>
      </c>
      <c r="J64" s="28" t="s">
        <v>187</v>
      </c>
      <c r="K64" s="105" t="s">
        <v>758</v>
      </c>
      <c r="L64" s="81">
        <v>9.0856481481481483E-3</v>
      </c>
      <c r="M64" s="543"/>
    </row>
    <row r="65" spans="1:13" ht="30.75">
      <c r="A65" s="538"/>
      <c r="B65" s="564"/>
      <c r="C65" s="532"/>
      <c r="D65" s="93" t="s">
        <v>425</v>
      </c>
      <c r="E65" s="35" t="s">
        <v>759</v>
      </c>
      <c r="F65" s="144"/>
      <c r="G65" s="99" t="s">
        <v>760</v>
      </c>
      <c r="H65" s="21" t="s">
        <v>565</v>
      </c>
      <c r="I65" s="28" t="s">
        <v>188</v>
      </c>
      <c r="J65" s="28" t="s">
        <v>187</v>
      </c>
      <c r="K65" s="105" t="s">
        <v>761</v>
      </c>
      <c r="L65" s="81">
        <v>9.0972222222222218E-3</v>
      </c>
      <c r="M65" s="543"/>
    </row>
    <row r="66" spans="1:13" ht="30.75">
      <c r="A66" s="538"/>
      <c r="B66" s="564"/>
      <c r="C66" s="534"/>
      <c r="D66" s="93" t="s">
        <v>429</v>
      </c>
      <c r="E66" s="35" t="s">
        <v>762</v>
      </c>
      <c r="F66" s="136"/>
      <c r="G66" s="99" t="s">
        <v>763</v>
      </c>
      <c r="H66" s="21" t="s">
        <v>565</v>
      </c>
      <c r="I66" s="28" t="s">
        <v>188</v>
      </c>
      <c r="J66" s="110" t="s">
        <v>187</v>
      </c>
      <c r="K66" s="105" t="s">
        <v>764</v>
      </c>
      <c r="L66" s="81">
        <v>8.9930555555555562E-3</v>
      </c>
      <c r="M66" s="543"/>
    </row>
    <row r="67" spans="1:13">
      <c r="A67" s="538"/>
      <c r="B67" s="564"/>
      <c r="C67" s="533" t="s">
        <v>365</v>
      </c>
      <c r="D67" s="93" t="s">
        <v>433</v>
      </c>
      <c r="E67" s="35" t="s">
        <v>765</v>
      </c>
      <c r="F67" s="136"/>
      <c r="G67" s="99" t="s">
        <v>766</v>
      </c>
      <c r="H67" s="21" t="s">
        <v>565</v>
      </c>
      <c r="I67" s="28" t="s">
        <v>188</v>
      </c>
      <c r="J67" s="28" t="s">
        <v>187</v>
      </c>
      <c r="K67" s="105" t="s">
        <v>767</v>
      </c>
      <c r="L67" s="81">
        <v>8.6921296296296295E-3</v>
      </c>
      <c r="M67" s="543"/>
    </row>
    <row r="68" spans="1:13" ht="30.75">
      <c r="A68" s="538"/>
      <c r="B68" s="564"/>
      <c r="C68" s="532"/>
      <c r="D68" s="93" t="s">
        <v>437</v>
      </c>
      <c r="E68" s="35" t="s">
        <v>768</v>
      </c>
      <c r="F68" s="136" t="s">
        <v>769</v>
      </c>
      <c r="G68" s="99" t="s">
        <v>770</v>
      </c>
      <c r="H68" s="21" t="s">
        <v>565</v>
      </c>
      <c r="I68" s="28" t="s">
        <v>188</v>
      </c>
      <c r="J68" s="28" t="s">
        <v>187</v>
      </c>
      <c r="K68" s="105" t="s">
        <v>771</v>
      </c>
      <c r="L68" s="128">
        <v>6.1921296296296299E-3</v>
      </c>
      <c r="M68" s="543"/>
    </row>
    <row r="69" spans="1:13" ht="45.75">
      <c r="A69" s="566"/>
      <c r="B69" s="570"/>
      <c r="C69" s="532"/>
      <c r="D69" s="93" t="s">
        <v>639</v>
      </c>
      <c r="E69" s="35" t="s">
        <v>772</v>
      </c>
      <c r="F69" s="136" t="s">
        <v>769</v>
      </c>
      <c r="G69" s="21" t="s">
        <v>773</v>
      </c>
      <c r="H69" s="21" t="s">
        <v>565</v>
      </c>
      <c r="I69" s="28" t="s">
        <v>188</v>
      </c>
      <c r="J69" s="28" t="s">
        <v>187</v>
      </c>
      <c r="K69" s="105" t="s">
        <v>774</v>
      </c>
      <c r="L69" s="128">
        <v>7.0717592592592594E-3</v>
      </c>
      <c r="M69" s="569"/>
    </row>
    <row r="70" spans="1:13">
      <c r="A70" s="13"/>
      <c r="B70" s="38"/>
      <c r="C70" s="15"/>
      <c r="D70" s="15"/>
      <c r="E70" s="90"/>
      <c r="F70" s="15"/>
      <c r="G70" s="17"/>
      <c r="H70" s="15"/>
      <c r="I70" s="15"/>
      <c r="J70" s="16"/>
      <c r="K70" s="16"/>
      <c r="L70" s="16"/>
      <c r="M70" s="17"/>
    </row>
    <row r="71" spans="1:13">
      <c r="A71" s="537" t="s">
        <v>48</v>
      </c>
      <c r="B71" s="563" t="s">
        <v>49</v>
      </c>
      <c r="C71" s="533" t="s">
        <v>245</v>
      </c>
      <c r="D71" s="19" t="s">
        <v>217</v>
      </c>
      <c r="E71" s="138" t="s">
        <v>185</v>
      </c>
      <c r="F71" s="142"/>
      <c r="G71" s="21" t="s">
        <v>775</v>
      </c>
      <c r="H71" s="21" t="s">
        <v>248</v>
      </c>
      <c r="I71" s="28" t="s">
        <v>188</v>
      </c>
      <c r="J71" s="10" t="s">
        <v>187</v>
      </c>
      <c r="K71" s="105" t="s">
        <v>776</v>
      </c>
      <c r="L71" s="81">
        <v>1.5046296296296296E-3</v>
      </c>
      <c r="M71" s="548" t="str">
        <f>VLOOKUP(A71,Geral!$A$1:$D$36,3,FALSE)</f>
        <v>Marco Aurélio Soares De Castro</v>
      </c>
    </row>
    <row r="72" spans="1:13">
      <c r="A72" s="538"/>
      <c r="B72" s="564"/>
      <c r="C72" s="532"/>
      <c r="D72" s="22" t="s">
        <v>184</v>
      </c>
      <c r="E72" s="20" t="s">
        <v>777</v>
      </c>
      <c r="F72" s="24"/>
      <c r="G72" s="21" t="s">
        <v>778</v>
      </c>
      <c r="H72" s="21" t="s">
        <v>248</v>
      </c>
      <c r="I72" s="28" t="s">
        <v>188</v>
      </c>
      <c r="J72" s="10" t="s">
        <v>187</v>
      </c>
      <c r="K72" s="105" t="s">
        <v>779</v>
      </c>
      <c r="L72" s="81">
        <v>1.3148148148148148E-2</v>
      </c>
      <c r="M72" s="543"/>
    </row>
    <row r="73" spans="1:13">
      <c r="A73" s="538"/>
      <c r="B73" s="564"/>
      <c r="C73" s="532"/>
      <c r="D73" s="22" t="s">
        <v>190</v>
      </c>
      <c r="E73" s="23" t="s">
        <v>780</v>
      </c>
      <c r="F73" s="24"/>
      <c r="G73" s="21" t="s">
        <v>781</v>
      </c>
      <c r="H73" s="21" t="s">
        <v>248</v>
      </c>
      <c r="I73" s="28" t="s">
        <v>188</v>
      </c>
      <c r="J73" s="10" t="s">
        <v>187</v>
      </c>
      <c r="K73" s="105" t="s">
        <v>782</v>
      </c>
      <c r="L73" s="128">
        <v>1.207175925925926E-2</v>
      </c>
      <c r="M73" s="543"/>
    </row>
    <row r="74" spans="1:13">
      <c r="A74" s="538"/>
      <c r="B74" s="564"/>
      <c r="C74" s="532"/>
      <c r="D74" s="22" t="s">
        <v>195</v>
      </c>
      <c r="E74" s="23" t="s">
        <v>783</v>
      </c>
      <c r="F74" s="24"/>
      <c r="G74" s="21" t="s">
        <v>784</v>
      </c>
      <c r="H74" s="21" t="s">
        <v>248</v>
      </c>
      <c r="I74" s="28" t="s">
        <v>188</v>
      </c>
      <c r="J74" s="10" t="s">
        <v>187</v>
      </c>
      <c r="K74" s="105" t="s">
        <v>785</v>
      </c>
      <c r="L74" s="128">
        <v>2.1215277777777777E-2</v>
      </c>
      <c r="M74" s="543"/>
    </row>
    <row r="75" spans="1:13" ht="15.75" customHeight="1">
      <c r="A75" s="538"/>
      <c r="B75" s="564"/>
      <c r="C75" s="532" t="s">
        <v>256</v>
      </c>
      <c r="D75" s="25" t="s">
        <v>199</v>
      </c>
      <c r="E75" s="20" t="s">
        <v>786</v>
      </c>
      <c r="F75" s="143"/>
      <c r="G75" s="216" t="s">
        <v>787</v>
      </c>
      <c r="H75" s="21" t="s">
        <v>248</v>
      </c>
      <c r="I75" s="28" t="s">
        <v>188</v>
      </c>
      <c r="J75" s="28" t="s">
        <v>187</v>
      </c>
      <c r="K75" s="105" t="s">
        <v>788</v>
      </c>
      <c r="L75" s="128">
        <v>7.8703703703703696E-3</v>
      </c>
      <c r="M75" s="543"/>
    </row>
    <row r="76" spans="1:13">
      <c r="A76" s="538"/>
      <c r="B76" s="564"/>
      <c r="C76" s="532"/>
      <c r="D76" s="25" t="s">
        <v>204</v>
      </c>
      <c r="E76" s="20" t="s">
        <v>789</v>
      </c>
      <c r="F76" s="143"/>
      <c r="G76" s="216" t="s">
        <v>790</v>
      </c>
      <c r="H76" s="21" t="s">
        <v>248</v>
      </c>
      <c r="I76" s="28" t="s">
        <v>188</v>
      </c>
      <c r="J76" s="28" t="s">
        <v>187</v>
      </c>
      <c r="K76" s="105" t="s">
        <v>791</v>
      </c>
      <c r="L76" s="128">
        <v>1.2638888888888889E-2</v>
      </c>
      <c r="M76" s="543"/>
    </row>
    <row r="77" spans="1:13">
      <c r="A77" s="538"/>
      <c r="B77" s="564"/>
      <c r="C77" s="532"/>
      <c r="D77" s="25" t="s">
        <v>208</v>
      </c>
      <c r="E77" t="s">
        <v>792</v>
      </c>
      <c r="F77" s="143"/>
      <c r="G77" s="21" t="s">
        <v>793</v>
      </c>
      <c r="H77" s="21" t="s">
        <v>248</v>
      </c>
      <c r="I77" s="28" t="s">
        <v>188</v>
      </c>
      <c r="J77" s="29" t="s">
        <v>187</v>
      </c>
      <c r="K77" s="105" t="s">
        <v>794</v>
      </c>
      <c r="L77" s="128">
        <v>1.3333333333333334E-2</v>
      </c>
      <c r="M77" s="543"/>
    </row>
    <row r="78" spans="1:13">
      <c r="A78" s="538"/>
      <c r="B78" s="564"/>
      <c r="C78" s="532" t="s">
        <v>266</v>
      </c>
      <c r="D78" s="22" t="s">
        <v>213</v>
      </c>
      <c r="E78" s="31" t="s">
        <v>795</v>
      </c>
      <c r="F78" s="30"/>
      <c r="G78" s="21" t="s">
        <v>796</v>
      </c>
      <c r="H78" s="21" t="s">
        <v>248</v>
      </c>
      <c r="I78" s="28" t="s">
        <v>188</v>
      </c>
      <c r="J78" s="29" t="s">
        <v>187</v>
      </c>
      <c r="K78" s="105" t="s">
        <v>797</v>
      </c>
      <c r="L78" s="81">
        <v>6.8865740740740745E-3</v>
      </c>
      <c r="M78" s="543"/>
    </row>
    <row r="79" spans="1:13">
      <c r="A79" s="538"/>
      <c r="B79" s="564"/>
      <c r="C79" s="532"/>
      <c r="D79" s="22" t="s">
        <v>270</v>
      </c>
      <c r="E79" s="31" t="s">
        <v>798</v>
      </c>
      <c r="F79" s="30"/>
      <c r="G79" s="21" t="s">
        <v>799</v>
      </c>
      <c r="H79" s="21" t="s">
        <v>248</v>
      </c>
      <c r="I79" s="28" t="s">
        <v>188</v>
      </c>
      <c r="J79" s="29" t="s">
        <v>187</v>
      </c>
      <c r="K79" s="105" t="s">
        <v>800</v>
      </c>
      <c r="L79" s="81">
        <v>1.4212962962962964E-2</v>
      </c>
      <c r="M79" s="543"/>
    </row>
    <row r="80" spans="1:13">
      <c r="A80" s="538"/>
      <c r="B80" s="564"/>
      <c r="C80" s="532"/>
      <c r="D80" s="22" t="s">
        <v>274</v>
      </c>
      <c r="E80" s="31" t="s">
        <v>801</v>
      </c>
      <c r="F80" s="143"/>
      <c r="G80" s="21" t="s">
        <v>802</v>
      </c>
      <c r="H80" s="21" t="s">
        <v>248</v>
      </c>
      <c r="I80" s="28" t="s">
        <v>188</v>
      </c>
      <c r="J80" s="28" t="s">
        <v>187</v>
      </c>
      <c r="K80" s="105" t="s">
        <v>803</v>
      </c>
      <c r="L80" s="81">
        <v>1.0243055555555556E-2</v>
      </c>
      <c r="M80" s="543"/>
    </row>
    <row r="81" spans="1:13">
      <c r="A81" s="538"/>
      <c r="B81" s="564"/>
      <c r="C81" s="532" t="s">
        <v>278</v>
      </c>
      <c r="D81" s="25" t="s">
        <v>279</v>
      </c>
      <c r="E81" s="32" t="s">
        <v>804</v>
      </c>
      <c r="F81" s="143"/>
      <c r="G81" s="21" t="s">
        <v>805</v>
      </c>
      <c r="H81" s="21" t="s">
        <v>248</v>
      </c>
      <c r="I81" s="28" t="s">
        <v>188</v>
      </c>
      <c r="J81" s="28" t="s">
        <v>187</v>
      </c>
      <c r="K81" s="105" t="s">
        <v>806</v>
      </c>
      <c r="L81" s="81">
        <v>1.275462962962963E-2</v>
      </c>
      <c r="M81" s="543"/>
    </row>
    <row r="82" spans="1:13">
      <c r="A82" s="538"/>
      <c r="B82" s="564"/>
      <c r="C82" s="532"/>
      <c r="D82" s="25" t="s">
        <v>283</v>
      </c>
      <c r="E82" s="32" t="s">
        <v>807</v>
      </c>
      <c r="F82" s="143"/>
      <c r="G82" s="21" t="s">
        <v>808</v>
      </c>
      <c r="H82" s="21" t="s">
        <v>248</v>
      </c>
      <c r="I82" s="28" t="s">
        <v>188</v>
      </c>
      <c r="J82" s="28" t="s">
        <v>187</v>
      </c>
      <c r="K82" s="105" t="s">
        <v>809</v>
      </c>
      <c r="L82" s="128">
        <v>1.4814814814814815E-2</v>
      </c>
      <c r="M82" s="543"/>
    </row>
    <row r="83" spans="1:13">
      <c r="A83" s="538"/>
      <c r="B83" s="564"/>
      <c r="C83" s="532"/>
      <c r="D83" s="25" t="s">
        <v>287</v>
      </c>
      <c r="E83" s="31" t="s">
        <v>810</v>
      </c>
      <c r="F83" s="30"/>
      <c r="G83" s="21" t="s">
        <v>811</v>
      </c>
      <c r="H83" s="21" t="s">
        <v>248</v>
      </c>
      <c r="I83" s="28" t="s">
        <v>188</v>
      </c>
      <c r="J83" s="28" t="s">
        <v>187</v>
      </c>
      <c r="K83" s="105" t="s">
        <v>812</v>
      </c>
      <c r="L83" s="81">
        <v>1.3993055555555555E-2</v>
      </c>
      <c r="M83" s="543"/>
    </row>
    <row r="84" spans="1:13">
      <c r="A84" s="538"/>
      <c r="B84" s="564"/>
      <c r="C84" s="532" t="s">
        <v>291</v>
      </c>
      <c r="D84" s="22" t="s">
        <v>292</v>
      </c>
      <c r="E84" s="31" t="s">
        <v>813</v>
      </c>
      <c r="F84" s="30"/>
      <c r="G84" s="99" t="s">
        <v>814</v>
      </c>
      <c r="H84" s="21" t="s">
        <v>248</v>
      </c>
      <c r="I84" s="28" t="s">
        <v>188</v>
      </c>
      <c r="J84" s="28" t="s">
        <v>187</v>
      </c>
      <c r="K84" s="105" t="s">
        <v>815</v>
      </c>
      <c r="L84" s="128">
        <v>1.480324074074074E-2</v>
      </c>
      <c r="M84" s="543"/>
    </row>
    <row r="85" spans="1:13">
      <c r="A85" s="538"/>
      <c r="B85" s="564"/>
      <c r="C85" s="532"/>
      <c r="D85" s="22" t="s">
        <v>297</v>
      </c>
      <c r="E85" s="27" t="s">
        <v>816</v>
      </c>
      <c r="F85" s="143"/>
      <c r="G85" s="21" t="s">
        <v>817</v>
      </c>
      <c r="H85" s="21" t="s">
        <v>248</v>
      </c>
      <c r="I85" s="28" t="s">
        <v>188</v>
      </c>
      <c r="J85" s="28" t="s">
        <v>187</v>
      </c>
      <c r="K85" s="105" t="s">
        <v>818</v>
      </c>
      <c r="L85" s="81">
        <v>1.5185185185185185E-2</v>
      </c>
      <c r="M85" s="543"/>
    </row>
    <row r="86" spans="1:13" ht="30.75">
      <c r="A86" s="538"/>
      <c r="B86" s="564"/>
      <c r="C86" s="534"/>
      <c r="D86" s="33" t="s">
        <v>301</v>
      </c>
      <c r="E86" s="35" t="s">
        <v>819</v>
      </c>
      <c r="F86" s="144"/>
      <c r="G86" s="21" t="s">
        <v>820</v>
      </c>
      <c r="H86" s="21" t="s">
        <v>248</v>
      </c>
      <c r="I86" s="28" t="s">
        <v>188</v>
      </c>
      <c r="J86" s="28" t="s">
        <v>187</v>
      </c>
      <c r="K86" s="125" t="s">
        <v>821</v>
      </c>
      <c r="L86" s="81">
        <v>1.207175925925926E-2</v>
      </c>
      <c r="M86" s="543"/>
    </row>
    <row r="87" spans="1:13">
      <c r="A87" s="538"/>
      <c r="B87" s="564"/>
      <c r="C87" s="533" t="s">
        <v>305</v>
      </c>
      <c r="D87" s="25" t="s">
        <v>306</v>
      </c>
      <c r="E87" s="35" t="s">
        <v>822</v>
      </c>
      <c r="F87" s="144"/>
      <c r="G87" s="21" t="s">
        <v>823</v>
      </c>
      <c r="H87" s="21" t="s">
        <v>248</v>
      </c>
      <c r="I87" s="28" t="s">
        <v>188</v>
      </c>
      <c r="J87" s="28" t="s">
        <v>187</v>
      </c>
      <c r="K87" s="105" t="s">
        <v>824</v>
      </c>
      <c r="L87" s="128">
        <v>1.4548611111111111E-2</v>
      </c>
      <c r="M87" s="543"/>
    </row>
    <row r="88" spans="1:13">
      <c r="A88" s="538"/>
      <c r="B88" s="564"/>
      <c r="C88" s="532"/>
      <c r="D88" s="25" t="s">
        <v>425</v>
      </c>
      <c r="E88" s="147" t="s">
        <v>825</v>
      </c>
      <c r="F88" s="144"/>
      <c r="G88" s="21" t="s">
        <v>826</v>
      </c>
      <c r="H88" s="21" t="s">
        <v>248</v>
      </c>
      <c r="I88" s="28" t="s">
        <v>188</v>
      </c>
      <c r="J88" s="28" t="s">
        <v>187</v>
      </c>
      <c r="K88" s="105" t="s">
        <v>827</v>
      </c>
      <c r="L88" s="81">
        <v>1.4166666666666666E-2</v>
      </c>
      <c r="M88" s="543"/>
    </row>
    <row r="89" spans="1:13">
      <c r="A89" s="538"/>
      <c r="B89" s="564"/>
      <c r="C89" s="534"/>
      <c r="D89" s="25" t="s">
        <v>429</v>
      </c>
      <c r="E89" s="36" t="s">
        <v>828</v>
      </c>
      <c r="F89" s="136"/>
      <c r="G89" s="21" t="s">
        <v>829</v>
      </c>
      <c r="H89" s="21" t="s">
        <v>248</v>
      </c>
      <c r="I89" s="28" t="s">
        <v>188</v>
      </c>
      <c r="J89" s="110" t="s">
        <v>187</v>
      </c>
      <c r="K89" s="105" t="s">
        <v>830</v>
      </c>
      <c r="L89" s="154">
        <v>1.2638888888888889E-2</v>
      </c>
      <c r="M89" s="543"/>
    </row>
    <row r="90" spans="1:13">
      <c r="A90" s="538"/>
      <c r="B90" s="564"/>
      <c r="C90" s="533" t="s">
        <v>365</v>
      </c>
      <c r="D90" s="22" t="s">
        <v>433</v>
      </c>
      <c r="E90" s="27" t="s">
        <v>831</v>
      </c>
      <c r="F90" s="136"/>
      <c r="G90" s="21" t="s">
        <v>832</v>
      </c>
      <c r="H90" s="21" t="s">
        <v>248</v>
      </c>
      <c r="I90" s="28" t="s">
        <v>188</v>
      </c>
      <c r="J90" s="28" t="s">
        <v>187</v>
      </c>
      <c r="K90" s="105" t="s">
        <v>833</v>
      </c>
      <c r="L90" s="81">
        <v>1.4884259259259259E-2</v>
      </c>
      <c r="M90" s="543"/>
    </row>
    <row r="91" spans="1:13">
      <c r="A91" s="538"/>
      <c r="B91" s="564"/>
      <c r="C91" s="532"/>
      <c r="D91" s="22" t="s">
        <v>437</v>
      </c>
      <c r="E91" s="35" t="s">
        <v>834</v>
      </c>
      <c r="F91" s="136"/>
      <c r="G91" s="21" t="s">
        <v>835</v>
      </c>
      <c r="H91" s="21" t="s">
        <v>248</v>
      </c>
      <c r="I91" s="28" t="s">
        <v>188</v>
      </c>
      <c r="J91" s="28" t="s">
        <v>187</v>
      </c>
      <c r="K91" s="125" t="s">
        <v>836</v>
      </c>
      <c r="L91" s="81">
        <v>1.4814814814814815E-2</v>
      </c>
      <c r="M91" s="543"/>
    </row>
    <row r="92" spans="1:13">
      <c r="A92" s="566"/>
      <c r="B92" s="570"/>
      <c r="C92" s="532"/>
      <c r="D92" s="22" t="s">
        <v>639</v>
      </c>
      <c r="E92" s="27" t="s">
        <v>837</v>
      </c>
      <c r="F92" s="136"/>
      <c r="G92" s="99" t="s">
        <v>838</v>
      </c>
      <c r="H92" s="21" t="s">
        <v>248</v>
      </c>
      <c r="I92" s="28" t="s">
        <v>188</v>
      </c>
      <c r="J92" s="28" t="s">
        <v>187</v>
      </c>
      <c r="K92" s="125" t="s">
        <v>839</v>
      </c>
      <c r="L92" s="128">
        <v>1.2453703703703703E-2</v>
      </c>
      <c r="M92" s="569"/>
    </row>
    <row r="93" spans="1:13">
      <c r="A93" s="13"/>
      <c r="B93" s="38"/>
      <c r="C93" s="15"/>
      <c r="D93" s="15"/>
      <c r="E93" s="90"/>
      <c r="F93" s="15"/>
      <c r="G93" s="17"/>
      <c r="H93" s="15"/>
      <c r="I93" s="15"/>
      <c r="J93" s="16"/>
      <c r="K93" s="16"/>
      <c r="L93" s="16"/>
      <c r="M93" s="17"/>
    </row>
    <row r="94" spans="1:13">
      <c r="A94" s="537" t="s">
        <v>52</v>
      </c>
      <c r="B94" s="563" t="s">
        <v>840</v>
      </c>
      <c r="C94" s="532"/>
      <c r="D94" s="22" t="s">
        <v>184</v>
      </c>
      <c r="E94" s="177" t="s">
        <v>841</v>
      </c>
      <c r="F94" s="21"/>
      <c r="G94" s="21" t="s">
        <v>842</v>
      </c>
      <c r="H94" s="21" t="s">
        <v>187</v>
      </c>
      <c r="I94" s="28" t="s">
        <v>188</v>
      </c>
      <c r="J94" s="10" t="s">
        <v>187</v>
      </c>
      <c r="K94" s="105" t="s">
        <v>843</v>
      </c>
      <c r="L94" s="81">
        <v>1.6805555555555556E-2</v>
      </c>
      <c r="M94" s="543"/>
    </row>
    <row r="95" spans="1:13">
      <c r="A95" s="538"/>
      <c r="B95" s="564"/>
      <c r="C95" s="532"/>
      <c r="D95" s="22" t="s">
        <v>190</v>
      </c>
      <c r="E95" s="177" t="s">
        <v>844</v>
      </c>
      <c r="F95" s="21"/>
      <c r="G95" s="21" t="s">
        <v>845</v>
      </c>
      <c r="H95" s="21" t="s">
        <v>846</v>
      </c>
      <c r="I95" s="28" t="s">
        <v>188</v>
      </c>
      <c r="J95" s="10" t="s">
        <v>187</v>
      </c>
      <c r="K95" s="105" t="s">
        <v>847</v>
      </c>
      <c r="L95" s="81">
        <v>1.3541666666666667E-2</v>
      </c>
      <c r="M95" s="543"/>
    </row>
    <row r="96" spans="1:13">
      <c r="A96" s="538"/>
      <c r="B96" s="564"/>
      <c r="C96" s="532"/>
      <c r="D96" s="22" t="s">
        <v>195</v>
      </c>
      <c r="E96" s="177" t="s">
        <v>848</v>
      </c>
      <c r="F96" s="21"/>
      <c r="G96" s="21" t="s">
        <v>849</v>
      </c>
      <c r="H96" s="21" t="s">
        <v>846</v>
      </c>
      <c r="I96" s="28" t="s">
        <v>188</v>
      </c>
      <c r="J96" s="10" t="s">
        <v>187</v>
      </c>
      <c r="K96" s="105" t="s">
        <v>850</v>
      </c>
      <c r="L96" s="81">
        <v>1.0104166666666666E-2</v>
      </c>
      <c r="M96" s="543"/>
    </row>
    <row r="97" spans="1:13">
      <c r="A97" s="538"/>
      <c r="B97" s="564"/>
      <c r="C97" s="532" t="s">
        <v>256</v>
      </c>
      <c r="D97" s="25" t="s">
        <v>199</v>
      </c>
      <c r="E97" s="177" t="s">
        <v>851</v>
      </c>
      <c r="F97" s="21"/>
      <c r="G97" s="21" t="s">
        <v>852</v>
      </c>
      <c r="H97" s="21" t="s">
        <v>187</v>
      </c>
      <c r="I97" s="28" t="s">
        <v>188</v>
      </c>
      <c r="J97" s="28" t="s">
        <v>187</v>
      </c>
      <c r="K97" s="105" t="s">
        <v>853</v>
      </c>
      <c r="L97" s="81">
        <v>9.2476851851851852E-3</v>
      </c>
      <c r="M97" s="543"/>
    </row>
    <row r="98" spans="1:13">
      <c r="A98" s="538"/>
      <c r="B98" s="564"/>
      <c r="C98" s="532"/>
      <c r="D98" s="25" t="s">
        <v>204</v>
      </c>
      <c r="E98" s="177" t="s">
        <v>854</v>
      </c>
      <c r="F98" s="21"/>
      <c r="G98" s="21" t="s">
        <v>855</v>
      </c>
      <c r="H98" s="21" t="s">
        <v>846</v>
      </c>
      <c r="I98" s="28" t="s">
        <v>188</v>
      </c>
      <c r="J98" s="28" t="s">
        <v>187</v>
      </c>
      <c r="K98" s="105" t="s">
        <v>856</v>
      </c>
      <c r="L98" s="81">
        <v>1.3159722222222222E-2</v>
      </c>
      <c r="M98" s="543"/>
    </row>
    <row r="99" spans="1:13">
      <c r="A99" s="538"/>
      <c r="B99" s="564"/>
      <c r="C99" s="532"/>
      <c r="D99" s="25" t="s">
        <v>208</v>
      </c>
      <c r="E99" s="177" t="s">
        <v>857</v>
      </c>
      <c r="F99" s="21"/>
      <c r="G99" s="21" t="s">
        <v>858</v>
      </c>
      <c r="H99" s="21" t="s">
        <v>187</v>
      </c>
      <c r="I99" s="28" t="s">
        <v>188</v>
      </c>
      <c r="J99" s="29" t="s">
        <v>187</v>
      </c>
      <c r="K99" s="105" t="s">
        <v>859</v>
      </c>
      <c r="L99" s="81">
        <v>9.8032407407407408E-3</v>
      </c>
      <c r="M99" s="543"/>
    </row>
    <row r="100" spans="1:13">
      <c r="A100" s="538"/>
      <c r="B100" s="564"/>
      <c r="C100" s="532" t="s">
        <v>266</v>
      </c>
      <c r="D100" s="22" t="s">
        <v>213</v>
      </c>
      <c r="E100" s="177" t="s">
        <v>860</v>
      </c>
      <c r="F100" s="21"/>
      <c r="G100" s="99" t="s">
        <v>861</v>
      </c>
      <c r="H100" s="21" t="s">
        <v>187</v>
      </c>
      <c r="I100" s="28" t="s">
        <v>188</v>
      </c>
      <c r="J100" s="29" t="s">
        <v>187</v>
      </c>
      <c r="K100" s="105" t="s">
        <v>862</v>
      </c>
      <c r="L100" s="128">
        <v>8.4953703703703701E-3</v>
      </c>
      <c r="M100" s="543"/>
    </row>
    <row r="101" spans="1:13">
      <c r="A101" s="538"/>
      <c r="B101" s="564"/>
      <c r="C101" s="532"/>
      <c r="D101" s="22" t="s">
        <v>270</v>
      </c>
      <c r="E101" s="177" t="s">
        <v>863</v>
      </c>
      <c r="F101" s="21"/>
      <c r="G101" s="99" t="s">
        <v>864</v>
      </c>
      <c r="H101" s="21" t="s">
        <v>187</v>
      </c>
      <c r="I101" s="28" t="s">
        <v>188</v>
      </c>
      <c r="J101" s="29" t="s">
        <v>187</v>
      </c>
      <c r="K101" s="105" t="s">
        <v>865</v>
      </c>
      <c r="L101" s="81">
        <v>7.9398148148148145E-3</v>
      </c>
      <c r="M101" s="543"/>
    </row>
    <row r="102" spans="1:13">
      <c r="A102" s="538"/>
      <c r="B102" s="564"/>
      <c r="C102" s="532"/>
      <c r="D102" s="22" t="s">
        <v>274</v>
      </c>
      <c r="E102" s="177" t="s">
        <v>866</v>
      </c>
      <c r="F102" s="21"/>
      <c r="G102" s="21" t="s">
        <v>867</v>
      </c>
      <c r="H102" s="21" t="s">
        <v>187</v>
      </c>
      <c r="I102" s="28" t="s">
        <v>188</v>
      </c>
      <c r="J102" s="28" t="s">
        <v>187</v>
      </c>
      <c r="K102" s="105" t="s">
        <v>868</v>
      </c>
      <c r="L102" s="81">
        <v>1.6261574074074074E-2</v>
      </c>
      <c r="M102" s="543"/>
    </row>
    <row r="103" spans="1:13">
      <c r="A103" s="538"/>
      <c r="B103" s="564"/>
      <c r="C103" s="532" t="s">
        <v>278</v>
      </c>
      <c r="D103" s="25" t="s">
        <v>279</v>
      </c>
      <c r="E103" s="177" t="s">
        <v>869</v>
      </c>
      <c r="F103" s="143"/>
      <c r="G103" s="99" t="s">
        <v>870</v>
      </c>
      <c r="H103" s="21" t="s">
        <v>846</v>
      </c>
      <c r="I103" s="28" t="s">
        <v>188</v>
      </c>
      <c r="J103" s="28" t="s">
        <v>187</v>
      </c>
      <c r="K103" s="105" t="s">
        <v>871</v>
      </c>
      <c r="L103" s="128">
        <v>1.5578703703703704E-2</v>
      </c>
      <c r="M103" s="543"/>
    </row>
    <row r="104" spans="1:13">
      <c r="A104" s="538"/>
      <c r="B104" s="564"/>
      <c r="C104" s="532"/>
      <c r="D104" s="25" t="s">
        <v>283</v>
      </c>
      <c r="E104" s="177" t="s">
        <v>872</v>
      </c>
      <c r="F104" s="143"/>
      <c r="G104" s="99" t="s">
        <v>873</v>
      </c>
      <c r="H104" s="21" t="s">
        <v>846</v>
      </c>
      <c r="I104" s="28" t="s">
        <v>188</v>
      </c>
      <c r="J104" s="28" t="s">
        <v>187</v>
      </c>
      <c r="K104" s="105" t="s">
        <v>874</v>
      </c>
      <c r="L104" s="128">
        <v>1.4525462962962962E-2</v>
      </c>
      <c r="M104" s="543"/>
    </row>
    <row r="105" spans="1:13">
      <c r="A105" s="538"/>
      <c r="B105" s="564"/>
      <c r="C105" s="532"/>
      <c r="D105" s="25" t="s">
        <v>287</v>
      </c>
      <c r="E105" s="177" t="s">
        <v>875</v>
      </c>
      <c r="F105" s="30"/>
      <c r="G105" s="99" t="s">
        <v>876</v>
      </c>
      <c r="H105" s="21" t="s">
        <v>846</v>
      </c>
      <c r="I105" s="28" t="s">
        <v>188</v>
      </c>
      <c r="J105" s="28" t="s">
        <v>187</v>
      </c>
      <c r="K105" s="105" t="s">
        <v>877</v>
      </c>
      <c r="L105" s="128">
        <v>1.269675925925926E-2</v>
      </c>
      <c r="M105" s="543"/>
    </row>
    <row r="106" spans="1:13" ht="30.75">
      <c r="A106" s="538"/>
      <c r="B106" s="564"/>
      <c r="C106" s="532" t="s">
        <v>291</v>
      </c>
      <c r="D106" s="22" t="s">
        <v>292</v>
      </c>
      <c r="E106" s="177" t="s">
        <v>878</v>
      </c>
      <c r="F106" s="30"/>
      <c r="G106" s="21" t="s">
        <v>879</v>
      </c>
      <c r="H106" s="21" t="s">
        <v>187</v>
      </c>
      <c r="I106" s="28" t="s">
        <v>188</v>
      </c>
      <c r="J106" s="28" t="s">
        <v>187</v>
      </c>
      <c r="K106" s="105" t="s">
        <v>880</v>
      </c>
      <c r="L106" s="128">
        <v>1.3842592592592592E-2</v>
      </c>
      <c r="M106" s="543"/>
    </row>
    <row r="107" spans="1:13" ht="30.75">
      <c r="A107" s="538"/>
      <c r="B107" s="564"/>
      <c r="C107" s="532"/>
      <c r="D107" s="22" t="s">
        <v>297</v>
      </c>
      <c r="E107" s="177" t="s">
        <v>881</v>
      </c>
      <c r="F107" s="143"/>
      <c r="G107" s="99" t="s">
        <v>882</v>
      </c>
      <c r="H107" s="21" t="s">
        <v>846</v>
      </c>
      <c r="I107" s="28" t="s">
        <v>188</v>
      </c>
      <c r="J107" s="28" t="s">
        <v>187</v>
      </c>
      <c r="K107" s="105" t="s">
        <v>883</v>
      </c>
      <c r="L107" s="128">
        <v>1.4895833333333334E-2</v>
      </c>
      <c r="M107" s="543"/>
    </row>
    <row r="108" spans="1:13" ht="30.75">
      <c r="A108" s="538"/>
      <c r="B108" s="564"/>
      <c r="C108" s="534"/>
      <c r="D108" s="33" t="s">
        <v>301</v>
      </c>
      <c r="E108" s="177" t="s">
        <v>884</v>
      </c>
      <c r="F108" s="144"/>
      <c r="G108" s="21" t="s">
        <v>885</v>
      </c>
      <c r="H108" s="21" t="s">
        <v>846</v>
      </c>
      <c r="I108" s="28" t="s">
        <v>188</v>
      </c>
      <c r="J108" s="28" t="s">
        <v>187</v>
      </c>
      <c r="K108" s="105" t="s">
        <v>886</v>
      </c>
      <c r="L108" s="128">
        <v>1.3449074074074073E-2</v>
      </c>
      <c r="M108" s="543"/>
    </row>
    <row r="109" spans="1:13">
      <c r="A109" s="538"/>
      <c r="B109" s="564"/>
      <c r="C109" s="533" t="s">
        <v>305</v>
      </c>
      <c r="D109" s="25" t="s">
        <v>306</v>
      </c>
      <c r="E109" s="177" t="s">
        <v>887</v>
      </c>
      <c r="F109" s="144"/>
      <c r="G109" s="21" t="s">
        <v>888</v>
      </c>
      <c r="H109" s="21" t="s">
        <v>846</v>
      </c>
      <c r="I109" s="28" t="s">
        <v>188</v>
      </c>
      <c r="J109" s="158" t="s">
        <v>187</v>
      </c>
      <c r="K109" s="105" t="s">
        <v>889</v>
      </c>
      <c r="L109" s="128">
        <v>1.5578703703703704E-2</v>
      </c>
      <c r="M109" s="543"/>
    </row>
    <row r="110" spans="1:13">
      <c r="A110" s="538"/>
      <c r="B110" s="564"/>
      <c r="C110" s="532"/>
      <c r="D110" s="25" t="s">
        <v>425</v>
      </c>
      <c r="E110" s="177" t="s">
        <v>890</v>
      </c>
      <c r="F110" s="144"/>
      <c r="G110" s="21" t="s">
        <v>891</v>
      </c>
      <c r="H110" s="21" t="s">
        <v>846</v>
      </c>
      <c r="I110" s="28" t="s">
        <v>188</v>
      </c>
      <c r="J110" s="28" t="s">
        <v>187</v>
      </c>
      <c r="K110" s="105" t="s">
        <v>892</v>
      </c>
      <c r="L110" s="128">
        <v>1.3831018518518519E-2</v>
      </c>
      <c r="M110" s="543"/>
    </row>
    <row r="111" spans="1:13">
      <c r="A111" s="538"/>
      <c r="B111" s="564"/>
      <c r="C111" s="534"/>
      <c r="D111" s="25" t="s">
        <v>429</v>
      </c>
      <c r="E111" s="177" t="s">
        <v>893</v>
      </c>
      <c r="F111" s="136"/>
      <c r="G111" s="21" t="s">
        <v>894</v>
      </c>
      <c r="H111" s="21" t="s">
        <v>846</v>
      </c>
      <c r="I111" s="28" t="s">
        <v>188</v>
      </c>
      <c r="J111" s="157" t="s">
        <v>187</v>
      </c>
      <c r="K111" s="105" t="s">
        <v>895</v>
      </c>
      <c r="L111" s="128">
        <v>1.3530092592592592E-2</v>
      </c>
      <c r="M111" s="543"/>
    </row>
    <row r="112" spans="1:13">
      <c r="A112" s="538"/>
      <c r="B112" s="564"/>
      <c r="C112" s="533" t="s">
        <v>365</v>
      </c>
      <c r="D112" s="22" t="s">
        <v>433</v>
      </c>
      <c r="E112" s="177" t="s">
        <v>896</v>
      </c>
      <c r="F112" s="136"/>
      <c r="G112" s="96" t="s">
        <v>897</v>
      </c>
      <c r="H112" s="21" t="s">
        <v>846</v>
      </c>
      <c r="I112" s="28" t="s">
        <v>188</v>
      </c>
      <c r="J112" s="28" t="s">
        <v>187</v>
      </c>
      <c r="K112" s="105" t="s">
        <v>898</v>
      </c>
      <c r="L112" s="128">
        <v>1.5381944444444445E-2</v>
      </c>
      <c r="M112" s="543"/>
    </row>
    <row r="113" spans="1:13">
      <c r="A113" s="538"/>
      <c r="B113" s="564"/>
      <c r="C113" s="532"/>
      <c r="D113" s="22" t="s">
        <v>437</v>
      </c>
      <c r="E113" s="177" t="s">
        <v>899</v>
      </c>
      <c r="F113" s="136"/>
      <c r="G113" s="21" t="s">
        <v>900</v>
      </c>
      <c r="H113" s="21" t="s">
        <v>846</v>
      </c>
      <c r="I113" s="28" t="s">
        <v>188</v>
      </c>
      <c r="J113" s="28"/>
      <c r="K113" s="105" t="s">
        <v>901</v>
      </c>
      <c r="L113" s="128">
        <v>1.5138888888888889E-2</v>
      </c>
      <c r="M113" s="543"/>
    </row>
    <row r="114" spans="1:13">
      <c r="A114" s="538"/>
      <c r="B114" s="564"/>
      <c r="C114" s="532"/>
      <c r="D114" s="22" t="s">
        <v>639</v>
      </c>
      <c r="E114" s="177" t="s">
        <v>902</v>
      </c>
      <c r="F114" s="136"/>
      <c r="G114" s="21" t="s">
        <v>903</v>
      </c>
      <c r="H114" s="21" t="s">
        <v>846</v>
      </c>
      <c r="I114" s="28" t="s">
        <v>188</v>
      </c>
      <c r="J114" s="28" t="s">
        <v>187</v>
      </c>
      <c r="K114" s="105" t="s">
        <v>904</v>
      </c>
      <c r="L114" s="81">
        <v>1.7812499999999998E-2</v>
      </c>
      <c r="M114" s="569"/>
    </row>
    <row r="115" spans="1:13">
      <c r="A115" s="13"/>
      <c r="B115" s="13"/>
      <c r="C115" s="15"/>
      <c r="D115" s="15"/>
      <c r="E115" s="90"/>
      <c r="F115" s="15"/>
      <c r="G115" s="17"/>
      <c r="H115" s="15"/>
      <c r="I115" s="15"/>
      <c r="J115" s="16"/>
      <c r="K115" s="16"/>
      <c r="L115" s="16"/>
      <c r="M115" s="17"/>
    </row>
    <row r="116" spans="1:13">
      <c r="A116" s="537" t="s">
        <v>56</v>
      </c>
      <c r="B116" s="563" t="s">
        <v>57</v>
      </c>
      <c r="C116" s="533" t="s">
        <v>245</v>
      </c>
      <c r="D116" s="19" t="s">
        <v>217</v>
      </c>
      <c r="E116" s="35" t="s">
        <v>185</v>
      </c>
      <c r="F116" s="142"/>
      <c r="G116" s="21" t="s">
        <v>905</v>
      </c>
      <c r="H116" s="21" t="s">
        <v>248</v>
      </c>
      <c r="I116" s="28" t="s">
        <v>188</v>
      </c>
      <c r="J116" s="10" t="s">
        <v>187</v>
      </c>
      <c r="K116" s="105" t="s">
        <v>906</v>
      </c>
      <c r="L116" s="81">
        <v>2.5231481481481481E-3</v>
      </c>
      <c r="M116" s="548" t="str">
        <f>VLOOKUP(A116,Geral!$A$1:$D$36,3,FALSE)</f>
        <v>Margarete May Berkenbrock Rosito</v>
      </c>
    </row>
    <row r="117" spans="1:13" ht="30.75">
      <c r="A117" s="538"/>
      <c r="B117" s="567"/>
      <c r="C117" s="532"/>
      <c r="D117" s="22" t="s">
        <v>184</v>
      </c>
      <c r="E117" s="35" t="s">
        <v>907</v>
      </c>
      <c r="F117" s="24" t="s">
        <v>908</v>
      </c>
      <c r="G117" s="21" t="s">
        <v>909</v>
      </c>
      <c r="H117" s="21" t="s">
        <v>248</v>
      </c>
      <c r="I117" s="28" t="s">
        <v>188</v>
      </c>
      <c r="J117" s="10" t="s">
        <v>187</v>
      </c>
      <c r="K117" s="105" t="s">
        <v>910</v>
      </c>
      <c r="L117" s="81">
        <v>9.8611111111111104E-3</v>
      </c>
      <c r="M117" s="543"/>
    </row>
    <row r="118" spans="1:13">
      <c r="A118" s="538"/>
      <c r="B118" s="567"/>
      <c r="C118" s="532"/>
      <c r="D118" s="22" t="s">
        <v>190</v>
      </c>
      <c r="E118" s="35" t="s">
        <v>911</v>
      </c>
      <c r="F118" s="24" t="s">
        <v>912</v>
      </c>
      <c r="G118" s="21" t="s">
        <v>913</v>
      </c>
      <c r="H118" s="21" t="s">
        <v>248</v>
      </c>
      <c r="I118" s="28" t="s">
        <v>188</v>
      </c>
      <c r="J118" s="10" t="s">
        <v>187</v>
      </c>
      <c r="K118" s="105" t="s">
        <v>914</v>
      </c>
      <c r="L118" s="81">
        <v>1.5335648148148149E-2</v>
      </c>
      <c r="M118" s="543"/>
    </row>
    <row r="119" spans="1:13">
      <c r="A119" s="538"/>
      <c r="B119" s="567"/>
      <c r="C119" s="532"/>
      <c r="D119" s="22" t="s">
        <v>195</v>
      </c>
      <c r="E119" s="35" t="s">
        <v>915</v>
      </c>
      <c r="F119" s="24" t="s">
        <v>916</v>
      </c>
      <c r="G119" s="21" t="s">
        <v>917</v>
      </c>
      <c r="H119" s="21" t="s">
        <v>248</v>
      </c>
      <c r="I119" s="28" t="s">
        <v>188</v>
      </c>
      <c r="J119" s="10" t="s">
        <v>187</v>
      </c>
      <c r="K119" s="105" t="s">
        <v>918</v>
      </c>
      <c r="L119" s="81">
        <v>1.5972222222222221E-2</v>
      </c>
      <c r="M119" s="543"/>
    </row>
    <row r="120" spans="1:13">
      <c r="A120" s="538"/>
      <c r="B120" s="567"/>
      <c r="C120" s="532" t="s">
        <v>256</v>
      </c>
      <c r="D120" s="25" t="s">
        <v>199</v>
      </c>
      <c r="E120" s="35" t="s">
        <v>919</v>
      </c>
      <c r="F120" s="143" t="s">
        <v>920</v>
      </c>
      <c r="G120" s="21" t="s">
        <v>921</v>
      </c>
      <c r="H120" s="21" t="s">
        <v>248</v>
      </c>
      <c r="I120" s="28" t="s">
        <v>188</v>
      </c>
      <c r="J120" s="28" t="s">
        <v>187</v>
      </c>
      <c r="K120" s="105" t="s">
        <v>922</v>
      </c>
      <c r="L120" s="81">
        <v>1.4189814814814815E-2</v>
      </c>
      <c r="M120" s="543"/>
    </row>
    <row r="121" spans="1:13">
      <c r="A121" s="538"/>
      <c r="B121" s="567"/>
      <c r="C121" s="532"/>
      <c r="D121" s="25" t="s">
        <v>204</v>
      </c>
      <c r="E121" s="35" t="s">
        <v>923</v>
      </c>
      <c r="F121" s="143" t="s">
        <v>924</v>
      </c>
      <c r="G121" s="21" t="s">
        <v>925</v>
      </c>
      <c r="H121" s="21" t="s">
        <v>248</v>
      </c>
      <c r="I121" s="28" t="s">
        <v>188</v>
      </c>
      <c r="J121" s="28" t="s">
        <v>187</v>
      </c>
      <c r="K121" s="105" t="s">
        <v>926</v>
      </c>
      <c r="L121" s="81">
        <v>1.3622685185185186E-2</v>
      </c>
      <c r="M121" s="543"/>
    </row>
    <row r="122" spans="1:13">
      <c r="A122" s="538"/>
      <c r="B122" s="567"/>
      <c r="C122" s="532"/>
      <c r="D122" s="25" t="s">
        <v>208</v>
      </c>
      <c r="E122" s="35" t="s">
        <v>927</v>
      </c>
      <c r="F122" s="143" t="s">
        <v>928</v>
      </c>
      <c r="G122" s="21" t="s">
        <v>929</v>
      </c>
      <c r="H122" s="21" t="s">
        <v>248</v>
      </c>
      <c r="I122" s="28" t="s">
        <v>188</v>
      </c>
      <c r="J122" s="29" t="s">
        <v>187</v>
      </c>
      <c r="K122" s="105" t="s">
        <v>930</v>
      </c>
      <c r="L122" s="81">
        <v>1.4305555555555556E-2</v>
      </c>
      <c r="M122" s="543"/>
    </row>
    <row r="123" spans="1:13" ht="30.75">
      <c r="A123" s="538"/>
      <c r="B123" s="567"/>
      <c r="C123" s="532" t="s">
        <v>266</v>
      </c>
      <c r="D123" s="22" t="s">
        <v>213</v>
      </c>
      <c r="E123" s="146" t="s">
        <v>931</v>
      </c>
      <c r="F123" s="30"/>
      <c r="G123" s="21" t="s">
        <v>932</v>
      </c>
      <c r="H123" s="21" t="s">
        <v>248</v>
      </c>
      <c r="I123" s="28" t="s">
        <v>188</v>
      </c>
      <c r="J123" s="29" t="s">
        <v>187</v>
      </c>
      <c r="K123" s="105" t="s">
        <v>933</v>
      </c>
      <c r="L123" s="81">
        <v>1.5347222222222222E-2</v>
      </c>
      <c r="M123" s="543"/>
    </row>
    <row r="124" spans="1:13" ht="30.75">
      <c r="A124" s="538"/>
      <c r="B124" s="567"/>
      <c r="C124" s="532"/>
      <c r="D124" s="22" t="s">
        <v>270</v>
      </c>
      <c r="E124" s="35" t="s">
        <v>934</v>
      </c>
      <c r="F124" s="30" t="s">
        <v>935</v>
      </c>
      <c r="G124" s="21" t="s">
        <v>936</v>
      </c>
      <c r="H124" s="21" t="s">
        <v>248</v>
      </c>
      <c r="I124" s="28" t="s">
        <v>188</v>
      </c>
      <c r="J124" s="29" t="s">
        <v>187</v>
      </c>
      <c r="K124" s="105" t="s">
        <v>937</v>
      </c>
      <c r="L124" s="81">
        <v>1.5057870370370371E-2</v>
      </c>
      <c r="M124" s="543"/>
    </row>
    <row r="125" spans="1:13">
      <c r="A125" s="538"/>
      <c r="B125" s="567"/>
      <c r="C125" s="532"/>
      <c r="D125" s="22" t="s">
        <v>274</v>
      </c>
      <c r="E125" s="35" t="s">
        <v>938</v>
      </c>
      <c r="F125" s="143" t="s">
        <v>939</v>
      </c>
      <c r="G125" s="21" t="s">
        <v>940</v>
      </c>
      <c r="H125" s="21" t="s">
        <v>248</v>
      </c>
      <c r="I125" s="28" t="s">
        <v>188</v>
      </c>
      <c r="J125" s="28" t="s">
        <v>187</v>
      </c>
      <c r="K125" s="105" t="s">
        <v>941</v>
      </c>
      <c r="L125" s="81">
        <v>1.4456018518518519E-2</v>
      </c>
      <c r="M125" s="543"/>
    </row>
    <row r="126" spans="1:13">
      <c r="A126" s="538"/>
      <c r="B126" s="567"/>
      <c r="C126" s="532" t="s">
        <v>278</v>
      </c>
      <c r="D126" s="25" t="s">
        <v>279</v>
      </c>
      <c r="E126" s="35" t="s">
        <v>942</v>
      </c>
      <c r="F126" s="143" t="s">
        <v>943</v>
      </c>
      <c r="G126" s="21" t="s">
        <v>944</v>
      </c>
      <c r="H126" s="21" t="s">
        <v>248</v>
      </c>
      <c r="I126" s="28" t="s">
        <v>188</v>
      </c>
      <c r="J126" s="28" t="s">
        <v>187</v>
      </c>
      <c r="K126" s="105" t="s">
        <v>945</v>
      </c>
      <c r="L126" s="81">
        <v>1.1296296296296296E-2</v>
      </c>
      <c r="M126" s="543"/>
    </row>
    <row r="127" spans="1:13" ht="30.75">
      <c r="A127" s="538"/>
      <c r="B127" s="567"/>
      <c r="C127" s="532"/>
      <c r="D127" s="25" t="s">
        <v>283</v>
      </c>
      <c r="E127" s="35" t="s">
        <v>946</v>
      </c>
      <c r="F127" s="143" t="s">
        <v>947</v>
      </c>
      <c r="G127" s="21" t="s">
        <v>948</v>
      </c>
      <c r="H127" s="21" t="s">
        <v>248</v>
      </c>
      <c r="I127" s="28" t="s">
        <v>188</v>
      </c>
      <c r="J127" s="28" t="s">
        <v>187</v>
      </c>
      <c r="K127" s="105" t="s">
        <v>949</v>
      </c>
      <c r="L127" s="81">
        <v>1.6180555555555556E-2</v>
      </c>
      <c r="M127" s="543"/>
    </row>
    <row r="128" spans="1:13" ht="30.75">
      <c r="A128" s="538"/>
      <c r="B128" s="567"/>
      <c r="C128" s="532"/>
      <c r="D128" s="25" t="s">
        <v>287</v>
      </c>
      <c r="E128" s="35" t="s">
        <v>950</v>
      </c>
      <c r="F128" s="30" t="s">
        <v>951</v>
      </c>
      <c r="G128" s="21" t="s">
        <v>952</v>
      </c>
      <c r="H128" s="21" t="s">
        <v>248</v>
      </c>
      <c r="I128" s="28" t="s">
        <v>188</v>
      </c>
      <c r="J128" s="28" t="s">
        <v>187</v>
      </c>
      <c r="K128" s="105" t="s">
        <v>953</v>
      </c>
      <c r="L128" s="81">
        <v>1.1377314814814814E-2</v>
      </c>
      <c r="M128" s="543"/>
    </row>
    <row r="129" spans="1:13" ht="30.75">
      <c r="A129" s="538"/>
      <c r="B129" s="567"/>
      <c r="C129" s="532" t="s">
        <v>291</v>
      </c>
      <c r="D129" s="22" t="s">
        <v>292</v>
      </c>
      <c r="E129" s="146" t="s">
        <v>954</v>
      </c>
      <c r="F129" s="30"/>
      <c r="G129" s="21" t="s">
        <v>955</v>
      </c>
      <c r="H129" s="21" t="s">
        <v>248</v>
      </c>
      <c r="I129" s="28" t="s">
        <v>188</v>
      </c>
      <c r="J129" s="28" t="s">
        <v>187</v>
      </c>
      <c r="K129" s="105" t="s">
        <v>956</v>
      </c>
      <c r="L129" s="81">
        <v>1.5127314814814816E-2</v>
      </c>
      <c r="M129" s="543"/>
    </row>
    <row r="130" spans="1:13">
      <c r="A130" s="538"/>
      <c r="B130" s="567"/>
      <c r="C130" s="532"/>
      <c r="D130" s="22" t="s">
        <v>297</v>
      </c>
      <c r="E130" s="35" t="s">
        <v>957</v>
      </c>
      <c r="F130" s="143" t="s">
        <v>958</v>
      </c>
      <c r="G130" s="21" t="s">
        <v>959</v>
      </c>
      <c r="H130" s="21" t="s">
        <v>248</v>
      </c>
      <c r="I130" s="28" t="s">
        <v>188</v>
      </c>
      <c r="J130" s="28" t="s">
        <v>187</v>
      </c>
      <c r="K130" s="105" t="s">
        <v>960</v>
      </c>
      <c r="L130" s="81">
        <v>1.0636574074074074E-2</v>
      </c>
      <c r="M130" s="543"/>
    </row>
    <row r="131" spans="1:13">
      <c r="A131" s="538"/>
      <c r="B131" s="567"/>
      <c r="C131" s="534"/>
      <c r="D131" s="33" t="s">
        <v>301</v>
      </c>
      <c r="E131" s="35" t="s">
        <v>961</v>
      </c>
      <c r="F131" s="144" t="s">
        <v>962</v>
      </c>
      <c r="G131" s="21" t="s">
        <v>963</v>
      </c>
      <c r="H131" s="21" t="s">
        <v>248</v>
      </c>
      <c r="I131" s="28" t="s">
        <v>188</v>
      </c>
      <c r="J131" s="28" t="s">
        <v>187</v>
      </c>
      <c r="K131" s="105" t="s">
        <v>964</v>
      </c>
      <c r="L131" s="81">
        <v>1.2546296296296297E-2</v>
      </c>
      <c r="M131" s="543"/>
    </row>
    <row r="132" spans="1:13" ht="30.75">
      <c r="A132" s="538"/>
      <c r="B132" s="567"/>
      <c r="C132" s="533" t="s">
        <v>305</v>
      </c>
      <c r="D132" s="25" t="s">
        <v>306</v>
      </c>
      <c r="E132" s="35" t="s">
        <v>965</v>
      </c>
      <c r="F132" s="144"/>
      <c r="G132" s="21" t="s">
        <v>966</v>
      </c>
      <c r="H132" s="21" t="s">
        <v>248</v>
      </c>
      <c r="I132" s="28" t="s">
        <v>188</v>
      </c>
      <c r="J132" s="28" t="s">
        <v>187</v>
      </c>
      <c r="K132" s="105" t="s">
        <v>967</v>
      </c>
      <c r="L132" s="81">
        <v>1.7233796296296296E-2</v>
      </c>
      <c r="M132" s="543"/>
    </row>
    <row r="133" spans="1:13">
      <c r="A133" s="538"/>
      <c r="B133" s="567"/>
      <c r="C133" s="532"/>
      <c r="D133" s="25" t="s">
        <v>425</v>
      </c>
      <c r="E133" s="118" t="s">
        <v>968</v>
      </c>
      <c r="F133" s="144" t="s">
        <v>969</v>
      </c>
      <c r="G133" s="21" t="s">
        <v>970</v>
      </c>
      <c r="H133" s="21" t="s">
        <v>248</v>
      </c>
      <c r="I133" s="28" t="s">
        <v>188</v>
      </c>
      <c r="J133" s="28" t="s">
        <v>187</v>
      </c>
      <c r="K133" s="105" t="s">
        <v>971</v>
      </c>
      <c r="L133" s="81">
        <v>1.4467592592592593E-2</v>
      </c>
      <c r="M133" s="543"/>
    </row>
    <row r="134" spans="1:13" ht="30.75">
      <c r="A134" s="538"/>
      <c r="B134" s="567"/>
      <c r="C134" s="534"/>
      <c r="D134" s="25" t="s">
        <v>429</v>
      </c>
      <c r="E134" s="35" t="s">
        <v>972</v>
      </c>
      <c r="F134" s="136" t="s">
        <v>973</v>
      </c>
      <c r="G134" s="21" t="s">
        <v>974</v>
      </c>
      <c r="H134" s="21" t="s">
        <v>248</v>
      </c>
      <c r="I134" s="28" t="s">
        <v>188</v>
      </c>
      <c r="J134" s="110" t="s">
        <v>187</v>
      </c>
      <c r="K134" s="105" t="s">
        <v>975</v>
      </c>
      <c r="L134" s="81">
        <v>1.6770833333333332E-2</v>
      </c>
      <c r="M134" s="543"/>
    </row>
    <row r="135" spans="1:13">
      <c r="A135" s="538"/>
      <c r="B135" s="567"/>
      <c r="C135" s="533" t="s">
        <v>365</v>
      </c>
      <c r="D135" s="22" t="s">
        <v>433</v>
      </c>
      <c r="E135" s="35" t="s">
        <v>976</v>
      </c>
      <c r="F135" s="136"/>
      <c r="G135" s="21" t="s">
        <v>977</v>
      </c>
      <c r="H135" s="21" t="s">
        <v>248</v>
      </c>
      <c r="I135" s="28" t="s">
        <v>188</v>
      </c>
      <c r="J135" s="28" t="s">
        <v>187</v>
      </c>
      <c r="K135" s="105" t="s">
        <v>978</v>
      </c>
      <c r="L135" s="81">
        <v>1.3622685185185186E-2</v>
      </c>
      <c r="M135" s="543"/>
    </row>
    <row r="136" spans="1:13" ht="30.75">
      <c r="A136" s="538"/>
      <c r="B136" s="567"/>
      <c r="C136" s="532"/>
      <c r="D136" s="22" t="s">
        <v>437</v>
      </c>
      <c r="E136" s="35" t="s">
        <v>979</v>
      </c>
      <c r="F136" s="136"/>
      <c r="G136" s="21" t="s">
        <v>980</v>
      </c>
      <c r="H136" s="21" t="s">
        <v>248</v>
      </c>
      <c r="I136" s="28" t="s">
        <v>188</v>
      </c>
      <c r="J136" s="28" t="s">
        <v>187</v>
      </c>
      <c r="K136" s="105" t="s">
        <v>981</v>
      </c>
      <c r="L136" s="81">
        <v>9.6643518518518511E-3</v>
      </c>
      <c r="M136" s="543"/>
    </row>
    <row r="137" spans="1:13">
      <c r="A137" s="566"/>
      <c r="B137" s="568"/>
      <c r="C137" s="532"/>
      <c r="D137" s="22" t="s">
        <v>639</v>
      </c>
      <c r="E137" s="147" t="s">
        <v>982</v>
      </c>
      <c r="F137" s="136"/>
      <c r="G137" s="21" t="s">
        <v>983</v>
      </c>
      <c r="H137" s="21" t="s">
        <v>248</v>
      </c>
      <c r="I137" s="28" t="s">
        <v>188</v>
      </c>
      <c r="J137" s="28" t="s">
        <v>187</v>
      </c>
      <c r="K137" s="105" t="s">
        <v>984</v>
      </c>
      <c r="L137" s="81">
        <v>1.4525462962962962E-2</v>
      </c>
      <c r="M137" s="569"/>
    </row>
    <row r="138" spans="1:13">
      <c r="A138" s="13"/>
      <c r="B138" s="14"/>
      <c r="C138" s="15"/>
      <c r="D138" s="15"/>
      <c r="E138" s="90"/>
      <c r="F138" s="15"/>
      <c r="G138" s="17"/>
      <c r="H138" s="15"/>
      <c r="I138" s="15"/>
      <c r="J138" s="16"/>
      <c r="K138" s="16"/>
      <c r="L138" s="16"/>
      <c r="M138" s="17"/>
    </row>
  </sheetData>
  <autoFilter ref="G1:G138" xr:uid="{A09E4818-A783-462A-9CCC-069081F2C39D}"/>
  <mergeCells count="60">
    <mergeCell ref="A2:A23"/>
    <mergeCell ref="B2:B23"/>
    <mergeCell ref="C2:C5"/>
    <mergeCell ref="M2:M23"/>
    <mergeCell ref="C6:C8"/>
    <mergeCell ref="C9:C11"/>
    <mergeCell ref="C12:C14"/>
    <mergeCell ref="C15:C17"/>
    <mergeCell ref="C18:C20"/>
    <mergeCell ref="C21:C23"/>
    <mergeCell ref="A25:A46"/>
    <mergeCell ref="B25:B46"/>
    <mergeCell ref="C25:C28"/>
    <mergeCell ref="M25:M46"/>
    <mergeCell ref="C29:C31"/>
    <mergeCell ref="C32:C34"/>
    <mergeCell ref="C35:C37"/>
    <mergeCell ref="C38:C40"/>
    <mergeCell ref="C41:C43"/>
    <mergeCell ref="C44:C46"/>
    <mergeCell ref="A48:A69"/>
    <mergeCell ref="B48:B69"/>
    <mergeCell ref="C48:C51"/>
    <mergeCell ref="M48:M69"/>
    <mergeCell ref="C52:C54"/>
    <mergeCell ref="C55:C57"/>
    <mergeCell ref="C58:C60"/>
    <mergeCell ref="C61:C63"/>
    <mergeCell ref="C64:C66"/>
    <mergeCell ref="C67:C69"/>
    <mergeCell ref="A71:A92"/>
    <mergeCell ref="B71:B92"/>
    <mergeCell ref="C71:C74"/>
    <mergeCell ref="M71:M92"/>
    <mergeCell ref="C75:C77"/>
    <mergeCell ref="C78:C80"/>
    <mergeCell ref="C81:C83"/>
    <mergeCell ref="C84:C86"/>
    <mergeCell ref="C87:C89"/>
    <mergeCell ref="C90:C92"/>
    <mergeCell ref="A94:A114"/>
    <mergeCell ref="B94:B114"/>
    <mergeCell ref="C94:C96"/>
    <mergeCell ref="M94:M114"/>
    <mergeCell ref="C97:C99"/>
    <mergeCell ref="C100:C102"/>
    <mergeCell ref="C103:C105"/>
    <mergeCell ref="C106:C108"/>
    <mergeCell ref="C109:C111"/>
    <mergeCell ref="C112:C114"/>
    <mergeCell ref="A116:A137"/>
    <mergeCell ref="B116:B137"/>
    <mergeCell ref="C116:C119"/>
    <mergeCell ref="M116:M137"/>
    <mergeCell ref="C120:C122"/>
    <mergeCell ref="C123:C125"/>
    <mergeCell ref="C126:C128"/>
    <mergeCell ref="C129:C131"/>
    <mergeCell ref="C132:C134"/>
    <mergeCell ref="C135:C137"/>
  </mergeCells>
  <conditionalFormatting sqref="I2:I23 I94:I114">
    <cfRule type="containsText" dxfId="760" priority="137" operator="containsText" text="em edição">
      <formula>NOT(ISERROR(SEARCH("em edição",I2)))</formula>
    </cfRule>
    <cfRule type="containsText" dxfId="759" priority="138" operator="containsText" text="procedimento interno">
      <formula>NOT(ISERROR(SEARCH("procedimento interno",I2)))</formula>
    </cfRule>
    <cfRule type="containsText" dxfId="758" priority="139" operator="containsText" text="finalizado">
      <formula>NOT(ISERROR(SEARCH("finalizado",I2)))</formula>
    </cfRule>
    <cfRule type="containsText" dxfId="757" priority="140" operator="containsText" text="em correção">
      <formula>NOT(ISERROR(SEARCH("em correção",I2)))</formula>
    </cfRule>
    <cfRule type="containsText" dxfId="756" priority="141" operator="containsText" text="editado pela TV">
      <formula>NOT(ISERROR(SEARCH("editado pela TV",I2)))</formula>
    </cfRule>
    <cfRule type="containsText" dxfId="755" priority="142" operator="containsText" text="em correção">
      <formula>NOT(ISERROR(SEARCH("em correção",I2)))</formula>
    </cfRule>
    <cfRule type="containsText" dxfId="754" priority="143" operator="containsText" text="enviado pelo prof">
      <formula>NOT(ISERROR(SEARCH("enviado pelo prof",I2)))</formula>
    </cfRule>
    <cfRule type="containsText" dxfId="753" priority="144" operator="containsText" text="vai gravar">
      <formula>NOT(ISERROR(SEARCH("vai gravar",I2)))</formula>
    </cfRule>
  </conditionalFormatting>
  <conditionalFormatting sqref="I25:I46">
    <cfRule type="containsText" dxfId="752" priority="121" operator="containsText" text="em edição">
      <formula>NOT(ISERROR(SEARCH("em edição",I25)))</formula>
    </cfRule>
    <cfRule type="containsText" dxfId="751" priority="122" operator="containsText" text="procedimento interno">
      <formula>NOT(ISERROR(SEARCH("procedimento interno",I25)))</formula>
    </cfRule>
    <cfRule type="containsText" dxfId="750" priority="123" operator="containsText" text="finalizado">
      <formula>NOT(ISERROR(SEARCH("finalizado",I25)))</formula>
    </cfRule>
    <cfRule type="containsText" dxfId="749" priority="124" operator="containsText" text="em correção">
      <formula>NOT(ISERROR(SEARCH("em correção",I25)))</formula>
    </cfRule>
    <cfRule type="containsText" dxfId="748" priority="125" operator="containsText" text="editado pela TV">
      <formula>NOT(ISERROR(SEARCH("editado pela TV",I25)))</formula>
    </cfRule>
    <cfRule type="containsText" dxfId="747" priority="126" operator="containsText" text="em correção">
      <formula>NOT(ISERROR(SEARCH("em correção",I25)))</formula>
    </cfRule>
    <cfRule type="containsText" dxfId="746" priority="127" operator="containsText" text="enviado pelo prof">
      <formula>NOT(ISERROR(SEARCH("enviado pelo prof",I25)))</formula>
    </cfRule>
    <cfRule type="containsText" dxfId="745" priority="128" operator="containsText" text="vai gravar">
      <formula>NOT(ISERROR(SEARCH("vai gravar",I25)))</formula>
    </cfRule>
  </conditionalFormatting>
  <conditionalFormatting sqref="I60 I68:I69">
    <cfRule type="containsText" dxfId="744" priority="105" operator="containsText" text="em edição">
      <formula>NOT(ISERROR(SEARCH("em edição",I60)))</formula>
    </cfRule>
    <cfRule type="containsText" dxfId="743" priority="106" operator="containsText" text="procedimento interno">
      <formula>NOT(ISERROR(SEARCH("procedimento interno",I60)))</formula>
    </cfRule>
    <cfRule type="containsText" dxfId="742" priority="107" operator="containsText" text="finalizado">
      <formula>NOT(ISERROR(SEARCH("finalizado",I60)))</formula>
    </cfRule>
    <cfRule type="containsText" dxfId="741" priority="108" operator="containsText" text="em correção">
      <formula>NOT(ISERROR(SEARCH("em correção",I60)))</formula>
    </cfRule>
    <cfRule type="containsText" dxfId="740" priority="109" operator="containsText" text="editado pela TV">
      <formula>NOT(ISERROR(SEARCH("editado pela TV",I60)))</formula>
    </cfRule>
    <cfRule type="containsText" dxfId="739" priority="110" operator="containsText" text="em correção">
      <formula>NOT(ISERROR(SEARCH("em correção",I60)))</formula>
    </cfRule>
    <cfRule type="containsText" dxfId="738" priority="111" operator="containsText" text="enviado pelo prof">
      <formula>NOT(ISERROR(SEARCH("enviado pelo prof",I60)))</formula>
    </cfRule>
    <cfRule type="containsText" dxfId="737" priority="112" operator="containsText" text="vai gravar">
      <formula>NOT(ISERROR(SEARCH("vai gravar",I60)))</formula>
    </cfRule>
  </conditionalFormatting>
  <conditionalFormatting sqref="I72 I77:I92">
    <cfRule type="containsText" dxfId="736" priority="89" operator="containsText" text="em edição">
      <formula>NOT(ISERROR(SEARCH("em edição",I72)))</formula>
    </cfRule>
    <cfRule type="containsText" dxfId="735" priority="90" operator="containsText" text="procedimento interno">
      <formula>NOT(ISERROR(SEARCH("procedimento interno",I72)))</formula>
    </cfRule>
    <cfRule type="containsText" dxfId="734" priority="91" operator="containsText" text="finalizado">
      <formula>NOT(ISERROR(SEARCH("finalizado",I72)))</formula>
    </cfRule>
    <cfRule type="containsText" dxfId="733" priority="92" operator="containsText" text="em correção">
      <formula>NOT(ISERROR(SEARCH("em correção",I72)))</formula>
    </cfRule>
    <cfRule type="containsText" dxfId="732" priority="93" operator="containsText" text="editado pela TV">
      <formula>NOT(ISERROR(SEARCH("editado pela TV",I72)))</formula>
    </cfRule>
    <cfRule type="containsText" dxfId="731" priority="94" operator="containsText" text="em correção">
      <formula>NOT(ISERROR(SEARCH("em correção",I72)))</formula>
    </cfRule>
    <cfRule type="containsText" dxfId="730" priority="95" operator="containsText" text="enviado pelo prof">
      <formula>NOT(ISERROR(SEARCH("enviado pelo prof",I72)))</formula>
    </cfRule>
    <cfRule type="containsText" dxfId="729" priority="96" operator="containsText" text="vai gravar">
      <formula>NOT(ISERROR(SEARCH("vai gravar",I72)))</formula>
    </cfRule>
  </conditionalFormatting>
  <conditionalFormatting sqref="I116:I137">
    <cfRule type="containsText" dxfId="728" priority="57" operator="containsText" text="em edição">
      <formula>NOT(ISERROR(SEARCH("em edição",I116)))</formula>
    </cfRule>
    <cfRule type="containsText" dxfId="727" priority="58" operator="containsText" text="procedimento interno">
      <formula>NOT(ISERROR(SEARCH("procedimento interno",I116)))</formula>
    </cfRule>
    <cfRule type="containsText" dxfId="726" priority="59" operator="containsText" text="finalizado">
      <formula>NOT(ISERROR(SEARCH("finalizado",I116)))</formula>
    </cfRule>
    <cfRule type="containsText" dxfId="725" priority="60" operator="containsText" text="em correção">
      <formula>NOT(ISERROR(SEARCH("em correção",I116)))</formula>
    </cfRule>
    <cfRule type="containsText" dxfId="724" priority="61" operator="containsText" text="editado pela TV">
      <formula>NOT(ISERROR(SEARCH("editado pela TV",I116)))</formula>
    </cfRule>
    <cfRule type="containsText" dxfId="723" priority="62" operator="containsText" text="em correção">
      <formula>NOT(ISERROR(SEARCH("em correção",I116)))</formula>
    </cfRule>
    <cfRule type="containsText" dxfId="722" priority="63" operator="containsText" text="enviado pelo prof">
      <formula>NOT(ISERROR(SEARCH("enviado pelo prof",I116)))</formula>
    </cfRule>
    <cfRule type="containsText" dxfId="721" priority="64" operator="containsText" text="vai gravar">
      <formula>NOT(ISERROR(SEARCH("vai gravar",I116)))</formula>
    </cfRule>
  </conditionalFormatting>
  <conditionalFormatting sqref="J24">
    <cfRule type="containsText" dxfId="720" priority="145" operator="containsText" text="em correção">
      <formula>NOT(ISERROR(SEARCH("em correção",J24)))</formula>
    </cfRule>
    <cfRule type="containsText" dxfId="719" priority="146" operator="containsText" text="em edição">
      <formula>NOT(ISERROR(SEARCH("em edição",J24)))</formula>
    </cfRule>
    <cfRule type="containsText" dxfId="718" priority="147" operator="containsText" text="procedimento interno">
      <formula>NOT(ISERROR(SEARCH("procedimento interno",J24)))</formula>
    </cfRule>
    <cfRule type="containsText" dxfId="717" priority="148" operator="containsText" text="finalizado">
      <formula>NOT(ISERROR(SEARCH("finalizado",J24)))</formula>
    </cfRule>
    <cfRule type="containsText" dxfId="716" priority="149" operator="containsText" text="editado pela TV">
      <formula>NOT(ISERROR(SEARCH("editado pela TV",J24)))</formula>
    </cfRule>
    <cfRule type="containsText" dxfId="715" priority="150" operator="containsText" text="em correção">
      <formula>NOT(ISERROR(SEARCH("em correção",J24)))</formula>
    </cfRule>
    <cfRule type="containsText" dxfId="714" priority="151" operator="containsText" text="enviado pelo prof">
      <formula>NOT(ISERROR(SEARCH("enviado pelo prof",J24)))</formula>
    </cfRule>
    <cfRule type="containsText" dxfId="713" priority="152" operator="containsText" text="vai gravar">
      <formula>NOT(ISERROR(SEARCH("vai gravar",J24)))</formula>
    </cfRule>
  </conditionalFormatting>
  <conditionalFormatting sqref="J47">
    <cfRule type="containsText" dxfId="712" priority="129" operator="containsText" text="em correção">
      <formula>NOT(ISERROR(SEARCH("em correção",J47)))</formula>
    </cfRule>
    <cfRule type="containsText" dxfId="711" priority="130" operator="containsText" text="em edição">
      <formula>NOT(ISERROR(SEARCH("em edição",J47)))</formula>
    </cfRule>
    <cfRule type="containsText" dxfId="710" priority="131" operator="containsText" text="procedimento interno">
      <formula>NOT(ISERROR(SEARCH("procedimento interno",J47)))</formula>
    </cfRule>
    <cfRule type="containsText" dxfId="709" priority="132" operator="containsText" text="finalizado">
      <formula>NOT(ISERROR(SEARCH("finalizado",J47)))</formula>
    </cfRule>
    <cfRule type="containsText" dxfId="708" priority="133" operator="containsText" text="editado pela TV">
      <formula>NOT(ISERROR(SEARCH("editado pela TV",J47)))</formula>
    </cfRule>
    <cfRule type="containsText" dxfId="707" priority="134" operator="containsText" text="em correção">
      <formula>NOT(ISERROR(SEARCH("em correção",J47)))</formula>
    </cfRule>
    <cfRule type="containsText" dxfId="706" priority="135" operator="containsText" text="enviado pelo prof">
      <formula>NOT(ISERROR(SEARCH("enviado pelo prof",J47)))</formula>
    </cfRule>
    <cfRule type="containsText" dxfId="705" priority="136" operator="containsText" text="vai gravar">
      <formula>NOT(ISERROR(SEARCH("vai gravar",J47)))</formula>
    </cfRule>
  </conditionalFormatting>
  <conditionalFormatting sqref="J70">
    <cfRule type="containsText" dxfId="704" priority="113" operator="containsText" text="em correção">
      <formula>NOT(ISERROR(SEARCH("em correção",J70)))</formula>
    </cfRule>
    <cfRule type="containsText" dxfId="703" priority="114" operator="containsText" text="em edição">
      <formula>NOT(ISERROR(SEARCH("em edição",J70)))</formula>
    </cfRule>
    <cfRule type="containsText" dxfId="702" priority="115" operator="containsText" text="procedimento interno">
      <formula>NOT(ISERROR(SEARCH("procedimento interno",J70)))</formula>
    </cfRule>
    <cfRule type="containsText" dxfId="701" priority="116" operator="containsText" text="finalizado">
      <formula>NOT(ISERROR(SEARCH("finalizado",J70)))</formula>
    </cfRule>
    <cfRule type="containsText" dxfId="700" priority="117" operator="containsText" text="editado pela TV">
      <formula>NOT(ISERROR(SEARCH("editado pela TV",J70)))</formula>
    </cfRule>
    <cfRule type="containsText" dxfId="699" priority="118" operator="containsText" text="em correção">
      <formula>NOT(ISERROR(SEARCH("em correção",J70)))</formula>
    </cfRule>
    <cfRule type="containsText" dxfId="698" priority="119" operator="containsText" text="enviado pelo prof">
      <formula>NOT(ISERROR(SEARCH("enviado pelo prof",J70)))</formula>
    </cfRule>
    <cfRule type="containsText" dxfId="697" priority="120" operator="containsText" text="vai gravar">
      <formula>NOT(ISERROR(SEARCH("vai gravar",J70)))</formula>
    </cfRule>
  </conditionalFormatting>
  <conditionalFormatting sqref="J93">
    <cfRule type="containsText" dxfId="696" priority="97" operator="containsText" text="em correção">
      <formula>NOT(ISERROR(SEARCH("em correção",J93)))</formula>
    </cfRule>
    <cfRule type="containsText" dxfId="695" priority="98" operator="containsText" text="em edição">
      <formula>NOT(ISERROR(SEARCH("em edição",J93)))</formula>
    </cfRule>
    <cfRule type="containsText" dxfId="694" priority="99" operator="containsText" text="procedimento interno">
      <formula>NOT(ISERROR(SEARCH("procedimento interno",J93)))</formula>
    </cfRule>
    <cfRule type="containsText" dxfId="693" priority="100" operator="containsText" text="finalizado">
      <formula>NOT(ISERROR(SEARCH("finalizado",J93)))</formula>
    </cfRule>
    <cfRule type="containsText" dxfId="692" priority="101" operator="containsText" text="editado pela TV">
      <formula>NOT(ISERROR(SEARCH("editado pela TV",J93)))</formula>
    </cfRule>
    <cfRule type="containsText" dxfId="691" priority="102" operator="containsText" text="em correção">
      <formula>NOT(ISERROR(SEARCH("em correção",J93)))</formula>
    </cfRule>
    <cfRule type="containsText" dxfId="690" priority="103" operator="containsText" text="enviado pelo prof">
      <formula>NOT(ISERROR(SEARCH("enviado pelo prof",J93)))</formula>
    </cfRule>
    <cfRule type="containsText" dxfId="689" priority="104" operator="containsText" text="vai gravar">
      <formula>NOT(ISERROR(SEARCH("vai gravar",J93)))</formula>
    </cfRule>
  </conditionalFormatting>
  <conditionalFormatting sqref="J115">
    <cfRule type="containsText" dxfId="688" priority="81" operator="containsText" text="em correção">
      <formula>NOT(ISERROR(SEARCH("em correção",J115)))</formula>
    </cfRule>
    <cfRule type="containsText" dxfId="687" priority="82" operator="containsText" text="em edição">
      <formula>NOT(ISERROR(SEARCH("em edição",J115)))</formula>
    </cfRule>
    <cfRule type="containsText" dxfId="686" priority="83" operator="containsText" text="procedimento interno">
      <formula>NOT(ISERROR(SEARCH("procedimento interno",J115)))</formula>
    </cfRule>
    <cfRule type="containsText" dxfId="685" priority="84" operator="containsText" text="finalizado">
      <formula>NOT(ISERROR(SEARCH("finalizado",J115)))</formula>
    </cfRule>
    <cfRule type="containsText" dxfId="684" priority="85" operator="containsText" text="editado pela TV">
      <formula>NOT(ISERROR(SEARCH("editado pela TV",J115)))</formula>
    </cfRule>
    <cfRule type="containsText" dxfId="683" priority="86" operator="containsText" text="em correção">
      <formula>NOT(ISERROR(SEARCH("em correção",J115)))</formula>
    </cfRule>
    <cfRule type="containsText" dxfId="682" priority="87" operator="containsText" text="enviado pelo prof">
      <formula>NOT(ISERROR(SEARCH("enviado pelo prof",J115)))</formula>
    </cfRule>
    <cfRule type="containsText" dxfId="681" priority="88" operator="containsText" text="vai gravar">
      <formula>NOT(ISERROR(SEARCH("vai gravar",J115)))</formula>
    </cfRule>
  </conditionalFormatting>
  <conditionalFormatting sqref="J138">
    <cfRule type="containsText" dxfId="680" priority="65" operator="containsText" text="em correção">
      <formula>NOT(ISERROR(SEARCH("em correção",J138)))</formula>
    </cfRule>
    <cfRule type="containsText" dxfId="679" priority="66" operator="containsText" text="em edição">
      <formula>NOT(ISERROR(SEARCH("em edição",J138)))</formula>
    </cfRule>
    <cfRule type="containsText" dxfId="678" priority="67" operator="containsText" text="procedimento interno">
      <formula>NOT(ISERROR(SEARCH("procedimento interno",J138)))</formula>
    </cfRule>
    <cfRule type="containsText" dxfId="677" priority="68" operator="containsText" text="finalizado">
      <formula>NOT(ISERROR(SEARCH("finalizado",J138)))</formula>
    </cfRule>
    <cfRule type="containsText" dxfId="676" priority="69" operator="containsText" text="editado pela TV">
      <formula>NOT(ISERROR(SEARCH("editado pela TV",J138)))</formula>
    </cfRule>
    <cfRule type="containsText" dxfId="675" priority="70" operator="containsText" text="em correção">
      <formula>NOT(ISERROR(SEARCH("em correção",J138)))</formula>
    </cfRule>
    <cfRule type="containsText" dxfId="674" priority="71" operator="containsText" text="enviado pelo prof">
      <formula>NOT(ISERROR(SEARCH("enviado pelo prof",J138)))</formula>
    </cfRule>
    <cfRule type="containsText" dxfId="673" priority="72" operator="containsText" text="vai gravar">
      <formula>NOT(ISERROR(SEARCH("vai gravar",J138)))</formula>
    </cfRule>
  </conditionalFormatting>
  <conditionalFormatting sqref="I48:I59">
    <cfRule type="containsText" dxfId="672" priority="49" operator="containsText" text="em edição">
      <formula>NOT(ISERROR(SEARCH("em edição",I48)))</formula>
    </cfRule>
    <cfRule type="containsText" dxfId="671" priority="50" operator="containsText" text="procedimento interno">
      <formula>NOT(ISERROR(SEARCH("procedimento interno",I48)))</formula>
    </cfRule>
    <cfRule type="containsText" dxfId="670" priority="51" operator="containsText" text="finalizado">
      <formula>NOT(ISERROR(SEARCH("finalizado",I48)))</formula>
    </cfRule>
    <cfRule type="containsText" dxfId="669" priority="52" operator="containsText" text="em correção">
      <formula>NOT(ISERROR(SEARCH("em correção",I48)))</formula>
    </cfRule>
    <cfRule type="containsText" dxfId="668" priority="53" operator="containsText" text="editado pela TV">
      <formula>NOT(ISERROR(SEARCH("editado pela TV",I48)))</formula>
    </cfRule>
    <cfRule type="containsText" dxfId="667" priority="54" operator="containsText" text="em correção">
      <formula>NOT(ISERROR(SEARCH("em correção",I48)))</formula>
    </cfRule>
    <cfRule type="containsText" dxfId="666" priority="55" operator="containsText" text="enviado pelo prof">
      <formula>NOT(ISERROR(SEARCH("enviado pelo prof",I48)))</formula>
    </cfRule>
    <cfRule type="containsText" dxfId="665" priority="56" operator="containsText" text="vai gravar">
      <formula>NOT(ISERROR(SEARCH("vai gravar",I48)))</formula>
    </cfRule>
  </conditionalFormatting>
  <conditionalFormatting sqref="I61:I63">
    <cfRule type="containsText" dxfId="664" priority="41" operator="containsText" text="em edição">
      <formula>NOT(ISERROR(SEARCH("em edição",I61)))</formula>
    </cfRule>
    <cfRule type="containsText" dxfId="663" priority="42" operator="containsText" text="procedimento interno">
      <formula>NOT(ISERROR(SEARCH("procedimento interno",I61)))</formula>
    </cfRule>
    <cfRule type="containsText" dxfId="662" priority="43" operator="containsText" text="finalizado">
      <formula>NOT(ISERROR(SEARCH("finalizado",I61)))</formula>
    </cfRule>
    <cfRule type="containsText" dxfId="661" priority="44" operator="containsText" text="em correção">
      <formula>NOT(ISERROR(SEARCH("em correção",I61)))</formula>
    </cfRule>
    <cfRule type="containsText" dxfId="660" priority="45" operator="containsText" text="editado pela TV">
      <formula>NOT(ISERROR(SEARCH("editado pela TV",I61)))</formula>
    </cfRule>
    <cfRule type="containsText" dxfId="659" priority="46" operator="containsText" text="em correção">
      <formula>NOT(ISERROR(SEARCH("em correção",I61)))</formula>
    </cfRule>
    <cfRule type="containsText" dxfId="658" priority="47" operator="containsText" text="enviado pelo prof">
      <formula>NOT(ISERROR(SEARCH("enviado pelo prof",I61)))</formula>
    </cfRule>
    <cfRule type="containsText" dxfId="657" priority="48" operator="containsText" text="vai gravar">
      <formula>NOT(ISERROR(SEARCH("vai gravar",I61)))</formula>
    </cfRule>
  </conditionalFormatting>
  <conditionalFormatting sqref="I64:I67">
    <cfRule type="containsText" dxfId="656" priority="33" operator="containsText" text="em edição">
      <formula>NOT(ISERROR(SEARCH("em edição",I64)))</formula>
    </cfRule>
    <cfRule type="containsText" dxfId="655" priority="34" operator="containsText" text="procedimento interno">
      <formula>NOT(ISERROR(SEARCH("procedimento interno",I64)))</formula>
    </cfRule>
    <cfRule type="containsText" dxfId="654" priority="35" operator="containsText" text="finalizado">
      <formula>NOT(ISERROR(SEARCH("finalizado",I64)))</formula>
    </cfRule>
    <cfRule type="containsText" dxfId="653" priority="36" operator="containsText" text="em correção">
      <formula>NOT(ISERROR(SEARCH("em correção",I64)))</formula>
    </cfRule>
    <cfRule type="containsText" dxfId="652" priority="37" operator="containsText" text="editado pela TV">
      <formula>NOT(ISERROR(SEARCH("editado pela TV",I64)))</formula>
    </cfRule>
    <cfRule type="containsText" dxfId="651" priority="38" operator="containsText" text="em correção">
      <formula>NOT(ISERROR(SEARCH("em correção",I64)))</formula>
    </cfRule>
    <cfRule type="containsText" dxfId="650" priority="39" operator="containsText" text="enviado pelo prof">
      <formula>NOT(ISERROR(SEARCH("enviado pelo prof",I64)))</formula>
    </cfRule>
    <cfRule type="containsText" dxfId="649" priority="40" operator="containsText" text="vai gravar">
      <formula>NOT(ISERROR(SEARCH("vai gravar",I64)))</formula>
    </cfRule>
  </conditionalFormatting>
  <conditionalFormatting sqref="I71">
    <cfRule type="containsText" dxfId="648" priority="25" operator="containsText" text="em edição">
      <formula>NOT(ISERROR(SEARCH("em edição",I71)))</formula>
    </cfRule>
    <cfRule type="containsText" dxfId="647" priority="26" operator="containsText" text="procedimento interno">
      <formula>NOT(ISERROR(SEARCH("procedimento interno",I71)))</formula>
    </cfRule>
    <cfRule type="containsText" dxfId="646" priority="27" operator="containsText" text="finalizado">
      <formula>NOT(ISERROR(SEARCH("finalizado",I71)))</formula>
    </cfRule>
    <cfRule type="containsText" dxfId="645" priority="28" operator="containsText" text="em correção">
      <formula>NOT(ISERROR(SEARCH("em correção",I71)))</formula>
    </cfRule>
    <cfRule type="containsText" dxfId="644" priority="29" operator="containsText" text="editado pela TV">
      <formula>NOT(ISERROR(SEARCH("editado pela TV",I71)))</formula>
    </cfRule>
    <cfRule type="containsText" dxfId="643" priority="30" operator="containsText" text="em correção">
      <formula>NOT(ISERROR(SEARCH("em correção",I71)))</formula>
    </cfRule>
    <cfRule type="containsText" dxfId="642" priority="31" operator="containsText" text="enviado pelo prof">
      <formula>NOT(ISERROR(SEARCH("enviado pelo prof",I71)))</formula>
    </cfRule>
    <cfRule type="containsText" dxfId="641" priority="32" operator="containsText" text="vai gravar">
      <formula>NOT(ISERROR(SEARCH("vai gravar",I71)))</formula>
    </cfRule>
  </conditionalFormatting>
  <conditionalFormatting sqref="I73">
    <cfRule type="containsText" dxfId="640" priority="17" operator="containsText" text="em edição">
      <formula>NOT(ISERROR(SEARCH("em edição",I73)))</formula>
    </cfRule>
    <cfRule type="containsText" dxfId="639" priority="18" operator="containsText" text="procedimento interno">
      <formula>NOT(ISERROR(SEARCH("procedimento interno",I73)))</formula>
    </cfRule>
    <cfRule type="containsText" dxfId="638" priority="19" operator="containsText" text="finalizado">
      <formula>NOT(ISERROR(SEARCH("finalizado",I73)))</formula>
    </cfRule>
    <cfRule type="containsText" dxfId="637" priority="20" operator="containsText" text="em correção">
      <formula>NOT(ISERROR(SEARCH("em correção",I73)))</formula>
    </cfRule>
    <cfRule type="containsText" dxfId="636" priority="21" operator="containsText" text="editado pela TV">
      <formula>NOT(ISERROR(SEARCH("editado pela TV",I73)))</formula>
    </cfRule>
    <cfRule type="containsText" dxfId="635" priority="22" operator="containsText" text="em correção">
      <formula>NOT(ISERROR(SEARCH("em correção",I73)))</formula>
    </cfRule>
    <cfRule type="containsText" dxfId="634" priority="23" operator="containsText" text="enviado pelo prof">
      <formula>NOT(ISERROR(SEARCH("enviado pelo prof",I73)))</formula>
    </cfRule>
    <cfRule type="containsText" dxfId="633" priority="24" operator="containsText" text="vai gravar">
      <formula>NOT(ISERROR(SEARCH("vai gravar",I73)))</formula>
    </cfRule>
  </conditionalFormatting>
  <conditionalFormatting sqref="I74:I76">
    <cfRule type="containsText" dxfId="632" priority="1" operator="containsText" text="em edição">
      <formula>NOT(ISERROR(SEARCH("em edição",I74)))</formula>
    </cfRule>
    <cfRule type="containsText" dxfId="631" priority="2" operator="containsText" text="procedimento interno">
      <formula>NOT(ISERROR(SEARCH("procedimento interno",I74)))</formula>
    </cfRule>
    <cfRule type="containsText" dxfId="630" priority="3" operator="containsText" text="finalizado">
      <formula>NOT(ISERROR(SEARCH("finalizado",I74)))</formula>
    </cfRule>
    <cfRule type="containsText" dxfId="629" priority="4" operator="containsText" text="em correção">
      <formula>NOT(ISERROR(SEARCH("em correção",I74)))</formula>
    </cfRule>
    <cfRule type="containsText" dxfId="628" priority="5" operator="containsText" text="editado pela TV">
      <formula>NOT(ISERROR(SEARCH("editado pela TV",I74)))</formula>
    </cfRule>
    <cfRule type="containsText" dxfId="627" priority="6" operator="containsText" text="em correção">
      <formula>NOT(ISERROR(SEARCH("em correção",I74)))</formula>
    </cfRule>
    <cfRule type="containsText" dxfId="626" priority="7" operator="containsText" text="enviado pelo prof">
      <formula>NOT(ISERROR(SEARCH("enviado pelo prof",I74)))</formula>
    </cfRule>
    <cfRule type="containsText" dxfId="625" priority="8" operator="containsText" text="vai gravar">
      <formula>NOT(ISERROR(SEARCH("vai gravar",I74)))</formula>
    </cfRule>
  </conditionalFormatting>
  <dataValidations count="1">
    <dataValidation type="list" allowBlank="1" showInputMessage="1" showErrorMessage="1" sqref="J24 I25:I46 J47 J70 I116:I137 J93 I2:I23 J115 I94:I114 J138 I48:I69 I71:I92" xr:uid="{BBF7171A-3418-4182-9ADD-1DA1EA91B795}">
      <formula1>" editado pela TV,finalizado,em correção,enviado pelo prof,vai gravar,em edição,procedimento interno"</formula1>
    </dataValidation>
  </dataValidations>
  <hyperlinks>
    <hyperlink ref="H94" r:id="rId1" xr:uid="{A45682CE-9136-4870-9131-BD376FE232D1}"/>
    <hyperlink ref="H97" r:id="rId2" xr:uid="{4411FDAE-ECF1-4DC6-AF7E-C7F8DB746D76}"/>
    <hyperlink ref="H99" r:id="rId3" xr:uid="{EE91096C-CB5A-4B58-A56D-53C1191C63F5}"/>
    <hyperlink ref="H100" r:id="rId4" xr:uid="{8B1B9749-E4B9-453E-B5F7-4C09455BFAB7}"/>
    <hyperlink ref="H101" r:id="rId5" xr:uid="{D4F22A15-41AE-48D0-8E74-59094402160E}"/>
    <hyperlink ref="H102" r:id="rId6" xr:uid="{C59A8D47-4B55-4E89-BF4D-81E80F59CDAB}"/>
    <hyperlink ref="G72" r:id="rId7" xr:uid="{253FC16C-299E-4BC9-B63B-FE58B61F373A}"/>
    <hyperlink ref="G78" r:id="rId8" xr:uid="{FE936599-37EF-4546-A572-A108871DD658}"/>
    <hyperlink ref="G79" r:id="rId9" xr:uid="{186A7720-D197-42BE-9856-715BAFBCE470}"/>
    <hyperlink ref="G80" r:id="rId10" xr:uid="{48F1B18E-A725-488E-8AFD-753C9679B87D}"/>
    <hyperlink ref="G81" r:id="rId11" xr:uid="{F54C2517-1774-4E11-9E68-24ED3B6714FA}"/>
    <hyperlink ref="G114" r:id="rId12" xr:uid="{25B7473B-D85E-4C27-B37F-7A9311850450}"/>
    <hyperlink ref="G94" r:id="rId13" xr:uid="{7ACCD488-5337-4DFA-A5B4-C110DB6B0802}"/>
    <hyperlink ref="G95" r:id="rId14" xr:uid="{C97193A1-05EF-4F8F-AEFA-35B353A89671}"/>
    <hyperlink ref="G97" r:id="rId15" xr:uid="{586C15AC-2D42-4D01-8DF4-ECB461CE54B1}"/>
    <hyperlink ref="G98" r:id="rId16" xr:uid="{577680FB-602D-423C-A7CB-055A2037A85C}"/>
    <hyperlink ref="G99" r:id="rId17" xr:uid="{7661BB01-2347-402E-B9A4-1A6DA6C7364B}"/>
    <hyperlink ref="G102" r:id="rId18" xr:uid="{55A4A4D1-C8B7-45B5-8C15-5857E130F86B}"/>
    <hyperlink ref="G85" r:id="rId19" xr:uid="{7630D414-7228-45C2-B626-C236EA2A392A}"/>
    <hyperlink ref="G137" r:id="rId20" xr:uid="{C4D903B6-C7BA-412D-8866-BABFE0B50753}"/>
    <hyperlink ref="H71" r:id="rId21" xr:uid="{824B8F35-70E2-4DA8-81AD-DDC1224C612C}"/>
    <hyperlink ref="H72:H92" r:id="rId22" display="OK" xr:uid="{25F0128E-9360-496D-B079-4477A3EC8EFB}"/>
    <hyperlink ref="H116" r:id="rId23" xr:uid="{97EE78C8-27A7-40E5-9856-EFC38E3FB147}"/>
    <hyperlink ref="H117:H137" r:id="rId24" display="OK" xr:uid="{7DABE816-B570-45E0-B43C-CAB20C275CD6}"/>
    <hyperlink ref="H25" r:id="rId25" xr:uid="{E4E012E9-E0C8-441C-9FBC-7DCCB69958BC}"/>
    <hyperlink ref="H26:H46" r:id="rId26" display="OK" xr:uid="{26593DF7-4FB9-469A-BBDC-A7528B1121E0}"/>
    <hyperlink ref="H2" r:id="rId27" xr:uid="{DA244C1F-F343-4FC8-8AA5-DD91A8D68121}"/>
    <hyperlink ref="H3:H23" r:id="rId28" display="OK" xr:uid="{5A5AF4EF-9077-401F-B4FE-135976FBA9FE}"/>
    <hyperlink ref="H48" r:id="rId29" xr:uid="{F2547904-C34F-472A-910A-302E98EF10F9}"/>
    <hyperlink ref="H49:H69" r:id="rId30" display="Ok" xr:uid="{A4E07544-A19F-41D1-953A-AFDC49091A4C}"/>
    <hyperlink ref="G2" r:id="rId31" xr:uid="{41473FAF-28B6-4D75-B1B1-9630B09476CB}"/>
    <hyperlink ref="G3" r:id="rId32" xr:uid="{F037DC8B-65B0-44B7-884E-A1389E2E2EC2}"/>
    <hyperlink ref="G4" r:id="rId33" xr:uid="{FD4C1C67-50D8-4A90-8975-3BD40303D27F}"/>
    <hyperlink ref="G5" r:id="rId34" xr:uid="{848F90F0-536F-44BA-AC9A-3CB0AF2C55C2}"/>
    <hyperlink ref="G6" r:id="rId35" xr:uid="{A43B39FC-96A7-447E-8A22-B8D8766A7C1E}"/>
    <hyperlink ref="G7" r:id="rId36" xr:uid="{9F3196FB-7FE2-48C4-99BF-18E5E1D6BFCF}"/>
    <hyperlink ref="G8" r:id="rId37" xr:uid="{49E89891-C65B-4104-AAD3-B854A5FEB602}"/>
    <hyperlink ref="G9" r:id="rId38" xr:uid="{9BB0EB4B-0030-4058-BD0B-3BC52F382E86}"/>
    <hyperlink ref="G10" r:id="rId39" xr:uid="{FF79398E-9938-4459-9610-23411234D376}"/>
    <hyperlink ref="G12" r:id="rId40" xr:uid="{CEF142EA-E998-4007-B8EC-BF64D541AB7D}"/>
    <hyperlink ref="G15" r:id="rId41" xr:uid="{2E489A9E-35C9-483B-BC75-D92DBD2D71F1}"/>
    <hyperlink ref="G16" r:id="rId42" xr:uid="{B1BF3926-CB50-429B-9504-ACDABF85D33E}"/>
    <hyperlink ref="G18" r:id="rId43" xr:uid="{B8AE12CA-E6FC-4B38-9AF1-D26C980185C9}"/>
    <hyperlink ref="G19" r:id="rId44" xr:uid="{F6ABDA88-F302-4B2B-8512-285D98EB9ECC}"/>
    <hyperlink ref="G20" r:id="rId45" xr:uid="{0278019F-F4E2-4F1A-A58B-4AC0BBBC7C0F}"/>
    <hyperlink ref="G21" r:id="rId46" xr:uid="{CC45D7D6-3D41-4937-A997-80E198E64D88}"/>
    <hyperlink ref="G22" r:id="rId47" xr:uid="{0B60EECF-C4C3-4EBF-981B-E2A5F38DC668}"/>
    <hyperlink ref="G23" r:id="rId48" xr:uid="{D4CDA2A8-1F1B-4DF7-8BBD-26A18DABE92F}"/>
    <hyperlink ref="G88" r:id="rId49" xr:uid="{938D5DF0-0EA5-483B-B7EE-1621FA2C7C98}"/>
    <hyperlink ref="G116" r:id="rId50" xr:uid="{752800CE-DF4C-4831-A6EA-B72D274AFFA7}"/>
    <hyperlink ref="G117" r:id="rId51" xr:uid="{E958449E-6CC5-433A-9179-F0F4E667FEF1}"/>
    <hyperlink ref="G118" r:id="rId52" xr:uid="{331136AD-B6E3-4DE0-949E-3BE168F7BAC4}"/>
    <hyperlink ref="G119" r:id="rId53" xr:uid="{E754720E-8F0E-4DF8-A044-CEF078E6A6C0}"/>
    <hyperlink ref="G120" r:id="rId54" xr:uid="{AC9F7DA4-EAB5-4F5C-B70B-2812F093C423}"/>
    <hyperlink ref="G121" r:id="rId55" xr:uid="{23FBAFE7-36C8-4598-95B6-2EE1ECF80E87}"/>
    <hyperlink ref="G122" r:id="rId56" xr:uid="{6BB0B44F-13EE-4B23-97A7-00C2181288C1}"/>
    <hyperlink ref="G123" r:id="rId57" xr:uid="{D16E6BFD-C73F-49B9-A179-F73062E6BDB9}"/>
    <hyperlink ref="G124" r:id="rId58" xr:uid="{C46F8801-BE74-4FCB-BE0E-676D330369E7}"/>
    <hyperlink ref="G125" r:id="rId59" xr:uid="{5D0FC8AF-A5B7-4895-BB1F-0783F840B927}"/>
    <hyperlink ref="G127" r:id="rId60" xr:uid="{8467EB67-D798-46C6-8488-E9FB82B3DEA3}"/>
    <hyperlink ref="G128" r:id="rId61" xr:uid="{E061A97E-ECB5-4A1C-83D2-7CA62B2EE7A0}"/>
    <hyperlink ref="G129" r:id="rId62" xr:uid="{817865D5-7655-441A-BD56-C21883A787D8}"/>
    <hyperlink ref="G130" r:id="rId63" xr:uid="{D87052DA-C935-4528-91C0-5A2A28142C86}"/>
    <hyperlink ref="G131" r:id="rId64" xr:uid="{EBC24BDB-C7A2-49EB-A349-9B581454E77D}"/>
    <hyperlink ref="G132" r:id="rId65" xr:uid="{31E8863C-0C7D-45B6-AE9C-01CBB2ADEFB8}"/>
    <hyperlink ref="G133" r:id="rId66" xr:uid="{E5DAB5B6-BE9C-49AB-BCC3-5B9EDEE75D80}"/>
    <hyperlink ref="G134" r:id="rId67" xr:uid="{54AF086F-D8C3-479A-BB02-9006B9B4060C}"/>
    <hyperlink ref="G135" r:id="rId68" xr:uid="{105560C3-1146-4023-85BD-16409DC08684}"/>
    <hyperlink ref="G17" r:id="rId69" xr:uid="{4E70BAE0-A038-4CAC-ABB0-535E903D6533}"/>
    <hyperlink ref="G11" r:id="rId70" xr:uid="{291EA5E8-02D4-4215-ACB8-F20D281FFD45}"/>
    <hyperlink ref="G14" r:id="rId71" xr:uid="{E881743D-32BB-4AF9-ABB4-4AC26064B21E}"/>
    <hyperlink ref="G13" r:id="rId72" xr:uid="{0DB5538D-D389-402F-80AD-6CCE99A514C6}"/>
    <hyperlink ref="G126" r:id="rId73" xr:uid="{DB6C7FCD-53C3-4CB9-A2C3-3A20A999DDCD}"/>
    <hyperlink ref="G136" r:id="rId74" xr:uid="{2BC22515-3360-4092-A48D-D174B6260D31}"/>
    <hyperlink ref="G83" r:id="rId75" xr:uid="{BD60D0C6-D1FB-494E-BA20-C819BF17C2E4}"/>
    <hyperlink ref="G86" r:id="rId76" xr:uid="{673798FA-71DC-4551-90C4-56A3D8B5C482}"/>
    <hyperlink ref="G91" r:id="rId77" xr:uid="{A5291E61-9A85-48B8-9515-B15522A70478}"/>
    <hyperlink ref="G48" r:id="rId78" xr:uid="{D4F89B0C-5660-4B73-9E08-F25D21A70A22}"/>
    <hyperlink ref="G49" r:id="rId79" xr:uid="{EB786892-DCB2-4793-898C-16DBB5A0C32B}"/>
    <hyperlink ref="G50" r:id="rId80" xr:uid="{1DC9BEA0-9FC8-4450-B844-8A791B8F4DBD}"/>
    <hyperlink ref="G52" r:id="rId81" xr:uid="{B94C0925-26F3-45F4-B5B7-658024A67FE8}"/>
    <hyperlink ref="G53" r:id="rId82" xr:uid="{4DDB5968-D118-469E-B7E0-A1DA9A05145B}"/>
    <hyperlink ref="G54" r:id="rId83" xr:uid="{03C5DD57-6609-4F57-A0B7-9C34B349BF7C}"/>
    <hyperlink ref="G55" r:id="rId84" xr:uid="{3A034459-D58F-4802-95E6-FE832FBF89C6}"/>
    <hyperlink ref="G56" r:id="rId85" xr:uid="{61AF7BA5-0895-475E-807C-FFCC2BC2DB06}"/>
    <hyperlink ref="G57" r:id="rId86" xr:uid="{10F7A2D5-F81F-45D3-8AEA-037A2C6AE1C1}"/>
    <hyperlink ref="G59" r:id="rId87" xr:uid="{19AB462E-2D6E-4A14-97B4-FDADE07DDD65}"/>
    <hyperlink ref="G61" r:id="rId88" xr:uid="{0E0BAD5A-6804-464F-99E6-1F56E2E73332}"/>
    <hyperlink ref="G62" r:id="rId89" xr:uid="{09F04D97-F810-4D87-ADBD-2902E3ED895E}"/>
    <hyperlink ref="G65" r:id="rId90" xr:uid="{0FBFB8ED-8A78-4AA7-882A-F08AD9956F94}"/>
    <hyperlink ref="G66" r:id="rId91" xr:uid="{39708063-A386-45D5-A226-C47F50BF5425}"/>
    <hyperlink ref="G67" r:id="rId92" xr:uid="{B2AD649B-62DB-4822-B0A8-6A781E0CC91D}"/>
    <hyperlink ref="G106" r:id="rId93" xr:uid="{1911267C-F9F6-4E41-A3D0-94DFC2B8B276}"/>
    <hyperlink ref="G25" r:id="rId94" xr:uid="{86C1A3F4-3B70-4A8F-852D-2CE29CCDEBF3}"/>
    <hyperlink ref="G27" r:id="rId95" xr:uid="{BA8BB222-7DD7-4EF6-BD80-23D923C6F744}"/>
    <hyperlink ref="G28" r:id="rId96" xr:uid="{A3C1C82F-CCCF-459F-8C3B-CBA0C0C00334}"/>
    <hyperlink ref="G29" r:id="rId97" xr:uid="{5F967E1B-782C-41DB-8478-0FE3256B6593}"/>
    <hyperlink ref="G30" r:id="rId98" xr:uid="{79566A81-7ABD-49FA-8712-63226F874CE6}"/>
    <hyperlink ref="G31" r:id="rId99" xr:uid="{4EEF7F71-07D0-4EA1-A178-BE6F577E0249}"/>
    <hyperlink ref="G32" r:id="rId100" xr:uid="{1EF67FCE-8FF4-4932-B22F-70E9D8B79AF2}"/>
    <hyperlink ref="G33" r:id="rId101" xr:uid="{D44AFB8C-0311-4095-9767-9E2E600B9B8C}"/>
    <hyperlink ref="G34" r:id="rId102" xr:uid="{A2483C2E-CBF5-4FBE-9B6F-8F1272090296}"/>
    <hyperlink ref="G35" r:id="rId103" xr:uid="{611C9D2F-2893-4200-972D-DD2564D66ECF}"/>
    <hyperlink ref="G36" r:id="rId104" xr:uid="{152D7A3B-09EC-4EFD-AE4D-5982C0CF504F}"/>
    <hyperlink ref="G37" r:id="rId105" xr:uid="{65D02183-5E29-41D9-8BA7-DD8736EEDD03}"/>
    <hyperlink ref="G38" r:id="rId106" xr:uid="{0283DDF1-D563-467B-A9A7-DACE2EA1CAF2}"/>
    <hyperlink ref="G39" r:id="rId107" xr:uid="{54C1BFBE-F684-462F-A348-F926C6EE8162}"/>
    <hyperlink ref="G40" r:id="rId108" xr:uid="{C01A9F5E-6DAF-4069-A2A6-7B0D8F8C0E17}"/>
    <hyperlink ref="G42" r:id="rId109" xr:uid="{60879EA9-276E-4268-8A6E-890A89F82CDB}"/>
    <hyperlink ref="G43" r:id="rId110" xr:uid="{6E649CF2-3DF9-4052-9696-5EB052078BF6}"/>
    <hyperlink ref="G45" r:id="rId111" xr:uid="{38275CB3-5E22-40EF-B29D-4D98D55E6FD0}"/>
    <hyperlink ref="G46" r:id="rId112" xr:uid="{E3F3C0AD-975C-41D5-BBB8-12C7DD340B99}"/>
    <hyperlink ref="G71" r:id="rId113" xr:uid="{7488D759-6BA3-4FE8-BED6-A87AA32F47C9}"/>
    <hyperlink ref="G73" r:id="rId114" xr:uid="{A639AF53-A054-47CA-A315-58C5850A8460}"/>
    <hyperlink ref="G26" r:id="rId115" xr:uid="{377CB99C-ABB2-49BF-BDD2-E0104296FB00}"/>
    <hyperlink ref="G51" r:id="rId116" xr:uid="{1DE06FD6-2D04-4B78-A9E7-DF6532370CA2}"/>
    <hyperlink ref="G90" r:id="rId117" xr:uid="{01916606-1C48-4D01-9CE6-14F78E797713}"/>
    <hyperlink ref="G89" r:id="rId118" xr:uid="{BA919FC5-9B69-48F2-95A8-79679EBB60A4}"/>
    <hyperlink ref="G74" r:id="rId119" xr:uid="{2BAD066B-E041-46DA-AA5B-FA4415015EF7}"/>
    <hyperlink ref="G96" r:id="rId120" xr:uid="{C361963F-E708-4963-BDE1-305D592794EA}"/>
    <hyperlink ref="G82" r:id="rId121" xr:uid="{8A3AAD54-10A3-4BF1-92D9-E1D10E5B85A8}"/>
    <hyperlink ref="G58" r:id="rId122" xr:uid="{ED796E7D-0A12-4632-AED3-882BBDBF89EE}"/>
    <hyperlink ref="G77" r:id="rId123" xr:uid="{63268B22-5E71-4D15-95E8-A271748A7390}"/>
    <hyperlink ref="G60" r:id="rId124" xr:uid="{7E3D7F66-6738-4FB2-98CC-83F38FEE63A5}"/>
    <hyperlink ref="G44" r:id="rId125" xr:uid="{E8367F7C-3935-4ADA-9F47-3A25C25ECC8B}"/>
    <hyperlink ref="G64" r:id="rId126" xr:uid="{6ED2E499-C1CB-464B-86E6-C084497A973F}"/>
    <hyperlink ref="G63" r:id="rId127" xr:uid="{6FC142D4-C1CB-4D1F-9634-4432450D6E78}"/>
    <hyperlink ref="G75" r:id="rId128" xr:uid="{CB7B156C-879B-4908-B072-C5C54BFA4518}"/>
    <hyperlink ref="G112" r:id="rId129" xr:uid="{7DCA0126-D9AB-478A-B993-FE9D347C5A7E}"/>
    <hyperlink ref="G103" r:id="rId130" xr:uid="{6D3EA756-095F-47D1-8C0A-4BE2D14F25C1}"/>
    <hyperlink ref="G92" r:id="rId131" xr:uid="{C06ED9F6-BAD6-44B4-A9D6-88C6FFCF7238}"/>
    <hyperlink ref="G76" r:id="rId132" xr:uid="{F5F6C05D-1D31-4F27-BE66-AF64010160C1}"/>
    <hyperlink ref="G104" r:id="rId133" xr:uid="{138740E9-861D-4310-9377-9996D8164206}"/>
    <hyperlink ref="G105" r:id="rId134" xr:uid="{6EEA1196-A280-4724-99DF-2B3AB3D28886}"/>
    <hyperlink ref="G108" r:id="rId135" xr:uid="{AC573EB6-E00D-4E30-AE6D-222EA258E8E1}"/>
    <hyperlink ref="G110" r:id="rId136" xr:uid="{66379F54-991A-418B-A73F-378D8EB6C330}"/>
    <hyperlink ref="G87" r:id="rId137" xr:uid="{B50D0DBF-6FEA-4F32-BDCD-C013AB033F78}"/>
    <hyperlink ref="G84" r:id="rId138" xr:uid="{AE89A64D-4439-472E-812B-820C822E4424}"/>
    <hyperlink ref="G101" r:id="rId139" xr:uid="{D9970884-1E4D-4E70-8C44-7F20AECF5A80}"/>
    <hyperlink ref="H106" r:id="rId140" xr:uid="{2A981EEC-33F8-47A8-BF3C-D9F752872CCE}"/>
    <hyperlink ref="G100" r:id="rId141" xr:uid="{FEDF9DE3-3E58-407E-90AA-D8A0930FE844}"/>
    <hyperlink ref="G107" r:id="rId142" xr:uid="{2115736A-CD59-4E0A-BF73-B8E31966085E}"/>
    <hyperlink ref="G41" r:id="rId143" xr:uid="{C33241F4-6B68-4901-AE62-C87B5F2AD25F}"/>
    <hyperlink ref="G69" r:id="rId144" xr:uid="{4242D486-706C-4D0E-88F5-734F80AB1221}"/>
    <hyperlink ref="G109" r:id="rId145" xr:uid="{FBA7D259-DFCE-417C-9567-80F447BD4F7A}"/>
    <hyperlink ref="G111" r:id="rId146" xr:uid="{DA4C47B7-C0F0-40CA-BDEF-BAC9D49D0679}"/>
    <hyperlink ref="G68" r:id="rId147" xr:uid="{5FEBC424-9721-49F3-AB3A-A26362FAC656}"/>
    <hyperlink ref="G113" r:id="rId148" xr:uid="{68E9B400-539B-42C0-A9DF-301EC6B32389}"/>
  </hyperlinks>
  <pageMargins left="0.7" right="0.7" top="0.75" bottom="0.75" header="0.3" footer="0.3"/>
  <legacyDrawing r:id="rId14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7D3D-4E41-4A94-B7B6-18691B3969C4}">
  <dimension ref="A1:R206"/>
  <sheetViews>
    <sheetView topLeftCell="E15" workbookViewId="0">
      <selection activeCell="E15" sqref="E15"/>
    </sheetView>
  </sheetViews>
  <sheetFormatPr defaultRowHeight="15"/>
  <cols>
    <col min="1" max="1" width="9.5703125" customWidth="1"/>
    <col min="2" max="2" width="15.28515625" customWidth="1"/>
    <col min="3" max="3" width="12.28515625" customWidth="1"/>
    <col min="4" max="4" width="10.85546875" bestFit="1" customWidth="1"/>
    <col min="5" max="5" width="58" style="32" customWidth="1"/>
    <col min="6" max="6" width="32.85546875" customWidth="1"/>
    <col min="7" max="7" width="31.42578125" style="44" customWidth="1"/>
    <col min="8" max="8" width="9.140625" style="44"/>
    <col min="9" max="9" width="11.5703125" customWidth="1"/>
    <col min="10" max="10" width="9.28515625" bestFit="1" customWidth="1"/>
    <col min="11" max="11" width="13.28515625" style="1" bestFit="1" customWidth="1"/>
    <col min="12" max="12" width="8.140625" style="1" bestFit="1" customWidth="1"/>
    <col min="13" max="13" width="13.140625" customWidth="1"/>
    <col min="14" max="14" width="16.5703125" style="1" customWidth="1"/>
  </cols>
  <sheetData>
    <row r="1" spans="1:14" ht="24.75">
      <c r="A1" s="3" t="s">
        <v>171</v>
      </c>
      <c r="B1" s="3" t="s">
        <v>1</v>
      </c>
      <c r="C1" s="3" t="s">
        <v>172</v>
      </c>
      <c r="D1" s="3" t="s">
        <v>173</v>
      </c>
      <c r="E1" s="3" t="s">
        <v>174</v>
      </c>
      <c r="F1" s="4" t="s">
        <v>175</v>
      </c>
      <c r="G1" s="3" t="s">
        <v>176</v>
      </c>
      <c r="H1" s="4" t="s">
        <v>177</v>
      </c>
      <c r="I1" s="3" t="s">
        <v>178</v>
      </c>
      <c r="J1" s="4" t="s">
        <v>179</v>
      </c>
      <c r="K1" s="4" t="s">
        <v>180</v>
      </c>
      <c r="L1" s="3" t="s">
        <v>181</v>
      </c>
      <c r="M1" s="4" t="s">
        <v>182</v>
      </c>
      <c r="N1" s="41" t="s">
        <v>3</v>
      </c>
    </row>
    <row r="2" spans="1:14" ht="15" customHeight="1">
      <c r="A2" s="596" t="s">
        <v>59</v>
      </c>
      <c r="B2" s="598" t="str">
        <f>VLOOKUP(A2,Geral!$A$1:$D$36,2,FALSE)</f>
        <v>Cidades Inteligentes</v>
      </c>
      <c r="C2" s="594" t="s">
        <v>245</v>
      </c>
      <c r="D2" s="22" t="s">
        <v>217</v>
      </c>
      <c r="E2" s="139" t="s">
        <v>185</v>
      </c>
      <c r="F2" s="66"/>
      <c r="G2" s="21" t="s">
        <v>985</v>
      </c>
      <c r="H2" s="21"/>
      <c r="I2" s="9" t="s">
        <v>188</v>
      </c>
      <c r="J2" s="10" t="s">
        <v>187</v>
      </c>
      <c r="K2" s="105" t="s">
        <v>986</v>
      </c>
      <c r="L2" s="81">
        <v>2.1296296296296298E-3</v>
      </c>
      <c r="M2" s="548" t="str">
        <f>VLOOKUP(A2,Geral!$A$1:$D$36,3,FALSE)</f>
        <v>Júlio Cezar Estrella</v>
      </c>
      <c r="N2" s="572" t="str">
        <f>VLOOKUP(A2,Geral!$A$1:$D$36,4,FALSE)</f>
        <v>Daniel</v>
      </c>
    </row>
    <row r="3" spans="1:14" ht="30.75" customHeight="1">
      <c r="A3" s="597"/>
      <c r="B3" s="581"/>
      <c r="C3" s="595"/>
      <c r="D3" s="22" t="s">
        <v>184</v>
      </c>
      <c r="E3" s="139" t="s">
        <v>987</v>
      </c>
      <c r="F3" s="21"/>
      <c r="G3" s="246" t="s">
        <v>988</v>
      </c>
      <c r="H3" s="21" t="s">
        <v>565</v>
      </c>
      <c r="I3" s="9" t="s">
        <v>188</v>
      </c>
      <c r="J3" s="1" t="s">
        <v>187</v>
      </c>
      <c r="K3" s="105" t="s">
        <v>989</v>
      </c>
      <c r="L3" s="81">
        <v>1.4918981481481481E-2</v>
      </c>
      <c r="M3" s="548"/>
      <c r="N3" s="572"/>
    </row>
    <row r="4" spans="1:14">
      <c r="A4" s="597"/>
      <c r="B4" s="581"/>
      <c r="C4" s="595"/>
      <c r="D4" s="22" t="s">
        <v>190</v>
      </c>
      <c r="E4" s="139" t="s">
        <v>990</v>
      </c>
      <c r="F4" s="66"/>
      <c r="G4" s="246" t="s">
        <v>991</v>
      </c>
      <c r="H4" s="21" t="s">
        <v>565</v>
      </c>
      <c r="I4" s="9" t="s">
        <v>188</v>
      </c>
      <c r="J4" s="1" t="s">
        <v>187</v>
      </c>
      <c r="K4" s="105" t="s">
        <v>992</v>
      </c>
      <c r="L4" s="81">
        <v>1.4016203703703704E-2</v>
      </c>
      <c r="M4" s="548"/>
      <c r="N4" s="572"/>
    </row>
    <row r="5" spans="1:14">
      <c r="A5" s="597"/>
      <c r="B5" s="581"/>
      <c r="C5" s="595"/>
      <c r="D5" s="22" t="s">
        <v>195</v>
      </c>
      <c r="E5" s="139" t="s">
        <v>993</v>
      </c>
      <c r="F5" s="66"/>
      <c r="G5" s="246" t="s">
        <v>994</v>
      </c>
      <c r="H5" s="21" t="s">
        <v>565</v>
      </c>
      <c r="I5" s="9" t="s">
        <v>188</v>
      </c>
      <c r="J5" s="1" t="s">
        <v>187</v>
      </c>
      <c r="K5" s="105" t="s">
        <v>995</v>
      </c>
      <c r="L5" s="81">
        <v>1.1377314814814814E-2</v>
      </c>
      <c r="M5" s="548"/>
      <c r="N5" s="572"/>
    </row>
    <row r="6" spans="1:14" ht="30.75">
      <c r="A6" s="597"/>
      <c r="B6" s="581"/>
      <c r="C6" s="532" t="s">
        <v>256</v>
      </c>
      <c r="D6" s="19" t="s">
        <v>199</v>
      </c>
      <c r="E6" s="139" t="s">
        <v>996</v>
      </c>
      <c r="F6" s="76"/>
      <c r="G6" s="246" t="s">
        <v>997</v>
      </c>
      <c r="H6" s="21" t="s">
        <v>565</v>
      </c>
      <c r="I6" s="9" t="s">
        <v>188</v>
      </c>
      <c r="J6" s="1" t="s">
        <v>187</v>
      </c>
      <c r="K6" s="105" t="s">
        <v>998</v>
      </c>
      <c r="L6" s="81">
        <v>1.1284722222222222E-2</v>
      </c>
      <c r="M6" s="548"/>
      <c r="N6" s="572"/>
    </row>
    <row r="7" spans="1:14">
      <c r="A7" s="597"/>
      <c r="B7" s="581"/>
      <c r="C7" s="532"/>
      <c r="D7" s="19" t="s">
        <v>204</v>
      </c>
      <c r="E7" s="139" t="s">
        <v>999</v>
      </c>
      <c r="F7" s="76"/>
      <c r="G7" s="246" t="s">
        <v>1000</v>
      </c>
      <c r="H7" s="21" t="s">
        <v>565</v>
      </c>
      <c r="I7" s="9" t="s">
        <v>188</v>
      </c>
      <c r="J7" s="1" t="s">
        <v>187</v>
      </c>
      <c r="K7" s="105" t="s">
        <v>1001</v>
      </c>
      <c r="L7" s="81">
        <v>1.375E-2</v>
      </c>
      <c r="M7" s="548"/>
      <c r="N7" s="572"/>
    </row>
    <row r="8" spans="1:14">
      <c r="A8" s="597"/>
      <c r="B8" s="581"/>
      <c r="C8" s="532"/>
      <c r="D8" s="19" t="s">
        <v>208</v>
      </c>
      <c r="E8" s="139" t="s">
        <v>1002</v>
      </c>
      <c r="F8" s="76"/>
      <c r="G8" s="246" t="s">
        <v>1003</v>
      </c>
      <c r="H8" s="21" t="s">
        <v>565</v>
      </c>
      <c r="I8" s="9" t="s">
        <v>188</v>
      </c>
      <c r="J8" s="1" t="s">
        <v>187</v>
      </c>
      <c r="K8" s="105" t="s">
        <v>1004</v>
      </c>
      <c r="L8" s="81">
        <v>9.9421296296296289E-3</v>
      </c>
      <c r="M8" s="548"/>
      <c r="N8" s="572"/>
    </row>
    <row r="9" spans="1:14">
      <c r="A9" s="597"/>
      <c r="B9" s="581"/>
      <c r="C9" s="532" t="s">
        <v>266</v>
      </c>
      <c r="D9" s="19" t="s">
        <v>213</v>
      </c>
      <c r="E9" s="139" t="s">
        <v>1005</v>
      </c>
      <c r="F9" s="67"/>
      <c r="G9" s="246" t="s">
        <v>1006</v>
      </c>
      <c r="H9" s="21" t="s">
        <v>565</v>
      </c>
      <c r="I9" s="9" t="s">
        <v>188</v>
      </c>
      <c r="J9" s="1" t="s">
        <v>187</v>
      </c>
      <c r="K9" s="105" t="s">
        <v>1007</v>
      </c>
      <c r="L9" s="81">
        <v>1.3518518518518518E-2</v>
      </c>
      <c r="M9" s="548"/>
      <c r="N9" s="572"/>
    </row>
    <row r="10" spans="1:14">
      <c r="A10" s="597"/>
      <c r="B10" s="581"/>
      <c r="C10" s="532"/>
      <c r="D10" s="19" t="s">
        <v>270</v>
      </c>
      <c r="E10" s="139" t="s">
        <v>1008</v>
      </c>
      <c r="F10" s="67"/>
      <c r="G10" s="246" t="s">
        <v>1009</v>
      </c>
      <c r="H10" s="21" t="s">
        <v>565</v>
      </c>
      <c r="I10" s="9" t="s">
        <v>188</v>
      </c>
      <c r="J10" s="1" t="s">
        <v>187</v>
      </c>
      <c r="K10" s="105" t="s">
        <v>1010</v>
      </c>
      <c r="L10" s="81">
        <v>1.1307870370370371E-2</v>
      </c>
      <c r="M10" s="548"/>
      <c r="N10" s="572"/>
    </row>
    <row r="11" spans="1:14" ht="30.75">
      <c r="A11" s="597"/>
      <c r="B11" s="581"/>
      <c r="C11" s="532"/>
      <c r="D11" s="19" t="s">
        <v>274</v>
      </c>
      <c r="E11" s="139" t="s">
        <v>1011</v>
      </c>
      <c r="F11" s="76"/>
      <c r="G11" s="246" t="s">
        <v>1012</v>
      </c>
      <c r="H11" s="21" t="s">
        <v>565</v>
      </c>
      <c r="I11" s="9" t="s">
        <v>188</v>
      </c>
      <c r="J11" s="1" t="s">
        <v>187</v>
      </c>
      <c r="K11" s="105" t="s">
        <v>1013</v>
      </c>
      <c r="L11" s="81">
        <v>7.2916666666666668E-3</v>
      </c>
      <c r="M11" s="548"/>
      <c r="N11" s="572"/>
    </row>
    <row r="12" spans="1:14">
      <c r="A12" s="597"/>
      <c r="B12" s="581"/>
      <c r="C12" s="532" t="s">
        <v>278</v>
      </c>
      <c r="D12" s="19" t="s">
        <v>279</v>
      </c>
      <c r="E12" s="139" t="s">
        <v>1014</v>
      </c>
      <c r="F12" s="76"/>
      <c r="G12" s="246" t="s">
        <v>1015</v>
      </c>
      <c r="H12" s="21" t="s">
        <v>565</v>
      </c>
      <c r="I12" s="9" t="s">
        <v>188</v>
      </c>
      <c r="J12" s="1" t="s">
        <v>187</v>
      </c>
      <c r="K12" s="105" t="s">
        <v>1016</v>
      </c>
      <c r="L12" s="81">
        <v>1.3796296296296296E-2</v>
      </c>
      <c r="M12" s="548"/>
      <c r="N12" s="572"/>
    </row>
    <row r="13" spans="1:14" ht="30.75">
      <c r="A13" s="597"/>
      <c r="B13" s="581"/>
      <c r="C13" s="532"/>
      <c r="D13" s="19" t="s">
        <v>283</v>
      </c>
      <c r="E13" s="139" t="s">
        <v>1017</v>
      </c>
      <c r="F13" s="76"/>
      <c r="G13" s="246" t="s">
        <v>1018</v>
      </c>
      <c r="H13" s="21" t="s">
        <v>565</v>
      </c>
      <c r="I13" s="9" t="s">
        <v>188</v>
      </c>
      <c r="J13" s="1" t="s">
        <v>187</v>
      </c>
      <c r="K13" s="105" t="s">
        <v>1019</v>
      </c>
      <c r="L13" s="81">
        <v>1.3148148148148148E-2</v>
      </c>
      <c r="M13" s="548"/>
      <c r="N13" s="572"/>
    </row>
    <row r="14" spans="1:14" ht="30.75">
      <c r="A14" s="597"/>
      <c r="B14" s="581"/>
      <c r="C14" s="532"/>
      <c r="D14" s="19" t="s">
        <v>287</v>
      </c>
      <c r="E14" s="139" t="s">
        <v>1020</v>
      </c>
      <c r="F14" s="67"/>
      <c r="G14" s="246" t="s">
        <v>1021</v>
      </c>
      <c r="H14" s="21" t="s">
        <v>565</v>
      </c>
      <c r="I14" s="9" t="s">
        <v>188</v>
      </c>
      <c r="J14" s="81" t="s">
        <v>187</v>
      </c>
      <c r="K14" s="105" t="s">
        <v>1022</v>
      </c>
      <c r="L14" s="81">
        <v>1.3865740740740741E-2</v>
      </c>
      <c r="M14" s="548"/>
      <c r="N14" s="572"/>
    </row>
    <row r="15" spans="1:14" ht="30.75">
      <c r="A15" s="597"/>
      <c r="B15" s="581"/>
      <c r="C15" s="532" t="s">
        <v>291</v>
      </c>
      <c r="D15" s="19" t="s">
        <v>292</v>
      </c>
      <c r="E15" s="139" t="s">
        <v>1023</v>
      </c>
      <c r="F15" s="67"/>
      <c r="G15" s="246" t="s">
        <v>1024</v>
      </c>
      <c r="H15" s="21" t="s">
        <v>565</v>
      </c>
      <c r="I15" s="9" t="s">
        <v>188</v>
      </c>
      <c r="J15" s="28" t="s">
        <v>187</v>
      </c>
      <c r="K15" s="105" t="s">
        <v>1025</v>
      </c>
      <c r="L15" s="81">
        <v>1.4502314814814815E-2</v>
      </c>
      <c r="M15" s="548"/>
      <c r="N15" s="572"/>
    </row>
    <row r="16" spans="1:14" ht="30.75">
      <c r="A16" s="597"/>
      <c r="B16" s="581"/>
      <c r="C16" s="532"/>
      <c r="D16" s="19" t="s">
        <v>297</v>
      </c>
      <c r="E16" s="139" t="s">
        <v>1026</v>
      </c>
      <c r="F16" s="76"/>
      <c r="G16" s="246" t="s">
        <v>1027</v>
      </c>
      <c r="H16" s="21" t="s">
        <v>565</v>
      </c>
      <c r="I16" s="9" t="s">
        <v>188</v>
      </c>
      <c r="J16" s="28" t="s">
        <v>187</v>
      </c>
      <c r="K16" s="105" t="s">
        <v>1028</v>
      </c>
      <c r="L16" s="81">
        <v>1.3495370370370371E-2</v>
      </c>
      <c r="M16" s="548"/>
      <c r="N16" s="572"/>
    </row>
    <row r="17" spans="1:14" ht="30.75">
      <c r="A17" s="597"/>
      <c r="B17" s="581"/>
      <c r="C17" s="532"/>
      <c r="D17" s="19" t="s">
        <v>301</v>
      </c>
      <c r="E17" s="139" t="s">
        <v>1029</v>
      </c>
      <c r="F17" s="77"/>
      <c r="G17" s="246" t="s">
        <v>1030</v>
      </c>
      <c r="H17" s="21" t="s">
        <v>565</v>
      </c>
      <c r="I17" s="9" t="s">
        <v>188</v>
      </c>
      <c r="J17" s="28" t="s">
        <v>187</v>
      </c>
      <c r="K17" s="105" t="s">
        <v>1031</v>
      </c>
      <c r="L17" s="81">
        <v>1.3773148148148149E-2</v>
      </c>
      <c r="M17" s="548"/>
      <c r="N17" s="572"/>
    </row>
    <row r="18" spans="1:14" ht="30.75">
      <c r="A18" s="597"/>
      <c r="B18" s="581"/>
      <c r="C18" s="533" t="s">
        <v>305</v>
      </c>
      <c r="D18" s="19" t="s">
        <v>306</v>
      </c>
      <c r="E18" s="139" t="s">
        <v>1032</v>
      </c>
      <c r="F18" s="77"/>
      <c r="G18" s="246" t="s">
        <v>1033</v>
      </c>
      <c r="H18" s="21" t="s">
        <v>565</v>
      </c>
      <c r="I18" s="9" t="s">
        <v>188</v>
      </c>
      <c r="J18" s="28" t="s">
        <v>187</v>
      </c>
      <c r="K18" s="105" t="s">
        <v>1034</v>
      </c>
      <c r="L18" s="81">
        <v>1.0995370370370371E-2</v>
      </c>
      <c r="M18" s="548"/>
      <c r="N18" s="572"/>
    </row>
    <row r="19" spans="1:14">
      <c r="A19" s="597"/>
      <c r="B19" s="581"/>
      <c r="C19" s="533"/>
      <c r="D19" s="19" t="s">
        <v>425</v>
      </c>
      <c r="E19" s="139" t="s">
        <v>1035</v>
      </c>
      <c r="F19" s="77"/>
      <c r="G19" s="246" t="s">
        <v>1036</v>
      </c>
      <c r="H19" s="21" t="s">
        <v>565</v>
      </c>
      <c r="I19" s="9" t="s">
        <v>188</v>
      </c>
      <c r="J19" s="28" t="s">
        <v>187</v>
      </c>
      <c r="K19" s="105" t="s">
        <v>1037</v>
      </c>
      <c r="L19" s="81">
        <v>1.1099537037037036E-2</v>
      </c>
      <c r="M19" s="548"/>
      <c r="N19" s="572"/>
    </row>
    <row r="20" spans="1:14">
      <c r="A20" s="597"/>
      <c r="B20" s="581"/>
      <c r="C20" s="533"/>
      <c r="D20" s="19" t="s">
        <v>429</v>
      </c>
      <c r="E20" s="139" t="s">
        <v>1038</v>
      </c>
      <c r="F20" s="68"/>
      <c r="G20" s="246" t="s">
        <v>1039</v>
      </c>
      <c r="H20" s="21" t="s">
        <v>565</v>
      </c>
      <c r="I20" s="9" t="s">
        <v>188</v>
      </c>
      <c r="J20" s="28" t="s">
        <v>187</v>
      </c>
      <c r="K20" s="105" t="s">
        <v>1040</v>
      </c>
      <c r="L20" s="81">
        <v>1.0081018518518519E-2</v>
      </c>
      <c r="M20" s="548"/>
      <c r="N20" s="572"/>
    </row>
    <row r="21" spans="1:14">
      <c r="A21" s="597"/>
      <c r="B21" s="581"/>
      <c r="C21" s="533" t="s">
        <v>365</v>
      </c>
      <c r="D21" s="19" t="s">
        <v>433</v>
      </c>
      <c r="E21" s="139" t="s">
        <v>1041</v>
      </c>
      <c r="F21" s="68"/>
      <c r="G21" s="246" t="s">
        <v>1042</v>
      </c>
      <c r="H21" s="21" t="s">
        <v>565</v>
      </c>
      <c r="I21" s="9" t="s">
        <v>188</v>
      </c>
      <c r="J21" s="28" t="s">
        <v>187</v>
      </c>
      <c r="K21" s="105" t="s">
        <v>1043</v>
      </c>
      <c r="L21" s="81">
        <v>1.4363425925925925E-2</v>
      </c>
      <c r="M21" s="548"/>
      <c r="N21" s="572"/>
    </row>
    <row r="22" spans="1:14" ht="30.75">
      <c r="A22" s="597"/>
      <c r="B22" s="581"/>
      <c r="C22" s="533"/>
      <c r="D22" s="19" t="s">
        <v>437</v>
      </c>
      <c r="E22" s="139" t="s">
        <v>1044</v>
      </c>
      <c r="F22" s="68"/>
      <c r="G22" s="246" t="s">
        <v>1045</v>
      </c>
      <c r="H22" s="21" t="s">
        <v>565</v>
      </c>
      <c r="I22" s="9" t="s">
        <v>188</v>
      </c>
      <c r="J22" s="28" t="s">
        <v>187</v>
      </c>
      <c r="K22" s="105" t="s">
        <v>1046</v>
      </c>
      <c r="L22" s="81">
        <v>1.1331018518518518E-2</v>
      </c>
      <c r="M22" s="548"/>
      <c r="N22" s="572"/>
    </row>
    <row r="23" spans="1:14" ht="30.75">
      <c r="A23" s="597"/>
      <c r="B23" s="581"/>
      <c r="C23" s="533"/>
      <c r="D23" s="19" t="s">
        <v>639</v>
      </c>
      <c r="E23" s="139" t="s">
        <v>1047</v>
      </c>
      <c r="F23" s="68"/>
      <c r="G23" s="246" t="s">
        <v>1048</v>
      </c>
      <c r="H23" s="21" t="s">
        <v>565</v>
      </c>
      <c r="I23" s="9" t="s">
        <v>188</v>
      </c>
      <c r="J23" s="28" t="s">
        <v>187</v>
      </c>
      <c r="K23" s="105" t="s">
        <v>1049</v>
      </c>
      <c r="L23" s="81">
        <v>1.2592592592592593E-2</v>
      </c>
      <c r="M23" s="548"/>
      <c r="N23" s="572"/>
    </row>
    <row r="24" spans="1:14" s="13" customFormat="1"/>
    <row r="25" spans="1:14">
      <c r="A25" s="537" t="s">
        <v>62</v>
      </c>
      <c r="B25" s="563" t="str">
        <f>VLOOKUP(A25,Geral!$A$1:$D$36,2,FALSE)</f>
        <v>Fundamentos e práticas no ensino de Ciências da Natureza</v>
      </c>
      <c r="C25" s="535" t="s">
        <v>245</v>
      </c>
      <c r="D25" s="19" t="s">
        <v>217</v>
      </c>
      <c r="E25" s="139" t="s">
        <v>576</v>
      </c>
      <c r="F25" s="65"/>
      <c r="G25" s="21" t="s">
        <v>1050</v>
      </c>
      <c r="H25" s="21" t="s">
        <v>187</v>
      </c>
      <c r="I25" s="9" t="s">
        <v>188</v>
      </c>
      <c r="J25" s="1" t="s">
        <v>187</v>
      </c>
      <c r="K25" s="125" t="s">
        <v>1051</v>
      </c>
      <c r="L25" s="81">
        <v>1.6550925925925926E-3</v>
      </c>
      <c r="M25" s="548" t="str">
        <f>VLOOKUP(A25,Geral!$A$1:$D$36,3,FALSE)</f>
        <v>Juliana Hanna Leite El Ottra</v>
      </c>
      <c r="N25" s="583" t="str">
        <f>VLOOKUP(A25,Geral!$A$1:$D$36,4,FALSE)</f>
        <v>Vanessa</v>
      </c>
    </row>
    <row r="26" spans="1:14">
      <c r="A26" s="537"/>
      <c r="B26" s="563"/>
      <c r="C26" s="535"/>
      <c r="D26" s="22" t="s">
        <v>184</v>
      </c>
      <c r="E26" s="139" t="s">
        <v>1052</v>
      </c>
      <c r="F26" s="66"/>
      <c r="G26" s="21" t="s">
        <v>1053</v>
      </c>
      <c r="H26" s="21" t="s">
        <v>187</v>
      </c>
      <c r="I26" s="9" t="s">
        <v>188</v>
      </c>
      <c r="J26" s="1" t="s">
        <v>187</v>
      </c>
      <c r="K26" s="105" t="s">
        <v>1054</v>
      </c>
      <c r="L26" s="81">
        <v>1.4548611111111111E-2</v>
      </c>
      <c r="M26" s="548"/>
      <c r="N26" s="583"/>
    </row>
    <row r="27" spans="1:14">
      <c r="A27" s="537"/>
      <c r="B27" s="563"/>
      <c r="C27" s="535"/>
      <c r="D27" s="22" t="s">
        <v>190</v>
      </c>
      <c r="E27" s="139" t="s">
        <v>1055</v>
      </c>
      <c r="F27" s="66"/>
      <c r="G27" s="21" t="s">
        <v>1056</v>
      </c>
      <c r="H27" s="21" t="s">
        <v>187</v>
      </c>
      <c r="I27" s="9" t="s">
        <v>188</v>
      </c>
      <c r="J27" s="1" t="s">
        <v>187</v>
      </c>
      <c r="K27" s="105" t="s">
        <v>1057</v>
      </c>
      <c r="L27" s="81">
        <v>1.4479166666666666E-2</v>
      </c>
      <c r="M27" s="548"/>
      <c r="N27" s="583"/>
    </row>
    <row r="28" spans="1:14" ht="30.75">
      <c r="A28" s="537"/>
      <c r="B28" s="563"/>
      <c r="C28" s="535"/>
      <c r="D28" s="22" t="s">
        <v>195</v>
      </c>
      <c r="E28" s="139" t="s">
        <v>1058</v>
      </c>
      <c r="F28" s="66"/>
      <c r="G28" s="21" t="s">
        <v>1059</v>
      </c>
      <c r="H28" s="21" t="s">
        <v>187</v>
      </c>
      <c r="I28" s="9" t="s">
        <v>188</v>
      </c>
      <c r="J28" s="1" t="s">
        <v>187</v>
      </c>
      <c r="K28" s="105" t="s">
        <v>1060</v>
      </c>
      <c r="L28" s="81">
        <v>1.4652777777777778E-2</v>
      </c>
      <c r="M28" s="548"/>
      <c r="N28" s="583"/>
    </row>
    <row r="29" spans="1:14" ht="30.75">
      <c r="A29" s="537"/>
      <c r="B29" s="563"/>
      <c r="C29" s="536" t="s">
        <v>256</v>
      </c>
      <c r="D29" s="19" t="s">
        <v>199</v>
      </c>
      <c r="E29" s="139" t="s">
        <v>1061</v>
      </c>
      <c r="F29" s="76"/>
      <c r="G29" s="21" t="s">
        <v>1062</v>
      </c>
      <c r="H29" s="21" t="s">
        <v>187</v>
      </c>
      <c r="I29" s="9" t="s">
        <v>188</v>
      </c>
      <c r="J29" s="1" t="s">
        <v>187</v>
      </c>
      <c r="K29" s="105" t="s">
        <v>1063</v>
      </c>
      <c r="L29" s="81">
        <v>1.4479166666666666E-2</v>
      </c>
      <c r="M29" s="548"/>
      <c r="N29" s="583"/>
    </row>
    <row r="30" spans="1:14" ht="30.75">
      <c r="A30" s="537"/>
      <c r="B30" s="563"/>
      <c r="C30" s="536"/>
      <c r="D30" s="19" t="s">
        <v>204</v>
      </c>
      <c r="E30" s="139" t="s">
        <v>1064</v>
      </c>
      <c r="F30" s="76"/>
      <c r="G30" s="21" t="s">
        <v>1065</v>
      </c>
      <c r="H30" s="21" t="s">
        <v>187</v>
      </c>
      <c r="I30" s="9" t="s">
        <v>188</v>
      </c>
      <c r="J30" s="1" t="s">
        <v>187</v>
      </c>
      <c r="K30" s="105" t="s">
        <v>1066</v>
      </c>
      <c r="L30" s="81">
        <v>1.4687499999999999E-2</v>
      </c>
      <c r="M30" s="548"/>
      <c r="N30" s="583"/>
    </row>
    <row r="31" spans="1:14" ht="30.75">
      <c r="A31" s="537"/>
      <c r="B31" s="563"/>
      <c r="C31" s="536"/>
      <c r="D31" s="19" t="s">
        <v>208</v>
      </c>
      <c r="E31" s="139" t="s">
        <v>1067</v>
      </c>
      <c r="F31" s="76"/>
      <c r="G31" s="21" t="s">
        <v>1068</v>
      </c>
      <c r="H31" s="21" t="s">
        <v>187</v>
      </c>
      <c r="I31" s="9" t="s">
        <v>188</v>
      </c>
      <c r="J31" s="1" t="s">
        <v>187</v>
      </c>
      <c r="K31" s="105" t="s">
        <v>1069</v>
      </c>
      <c r="L31" s="81">
        <v>1.4930555555555556E-2</v>
      </c>
      <c r="M31" s="548"/>
      <c r="N31" s="583"/>
    </row>
    <row r="32" spans="1:14">
      <c r="A32" s="537"/>
      <c r="B32" s="563"/>
      <c r="C32" s="536" t="s">
        <v>266</v>
      </c>
      <c r="D32" s="19" t="s">
        <v>213</v>
      </c>
      <c r="E32" s="139" t="s">
        <v>1070</v>
      </c>
      <c r="F32" s="67"/>
      <c r="G32" s="21" t="s">
        <v>1071</v>
      </c>
      <c r="H32" s="21" t="s">
        <v>187</v>
      </c>
      <c r="I32" s="9" t="s">
        <v>188</v>
      </c>
      <c r="J32" s="1" t="s">
        <v>187</v>
      </c>
      <c r="K32" s="105" t="s">
        <v>1072</v>
      </c>
      <c r="L32" s="81">
        <v>1.3715277777777778E-2</v>
      </c>
      <c r="M32" s="548"/>
      <c r="N32" s="583"/>
    </row>
    <row r="33" spans="1:14" ht="30.75">
      <c r="A33" s="537"/>
      <c r="B33" s="563"/>
      <c r="C33" s="536"/>
      <c r="D33" s="19" t="s">
        <v>270</v>
      </c>
      <c r="E33" s="139" t="s">
        <v>1073</v>
      </c>
      <c r="F33" s="67"/>
      <c r="G33" s="21" t="s">
        <v>1074</v>
      </c>
      <c r="H33" s="21" t="s">
        <v>187</v>
      </c>
      <c r="I33" s="9" t="s">
        <v>188</v>
      </c>
      <c r="J33" s="1" t="s">
        <v>187</v>
      </c>
      <c r="K33" s="105" t="s">
        <v>1075</v>
      </c>
      <c r="L33" s="81">
        <v>1.3715277777777778E-2</v>
      </c>
      <c r="M33" s="548"/>
      <c r="N33" s="583"/>
    </row>
    <row r="34" spans="1:14">
      <c r="A34" s="537"/>
      <c r="B34" s="563"/>
      <c r="C34" s="536"/>
      <c r="D34" s="19" t="s">
        <v>274</v>
      </c>
      <c r="E34" s="139" t="s">
        <v>1076</v>
      </c>
      <c r="F34" s="76"/>
      <c r="G34" s="21" t="s">
        <v>1077</v>
      </c>
      <c r="H34" s="21" t="s">
        <v>187</v>
      </c>
      <c r="I34" s="9" t="s">
        <v>188</v>
      </c>
      <c r="J34" s="1" t="s">
        <v>187</v>
      </c>
      <c r="K34" s="105" t="s">
        <v>1078</v>
      </c>
      <c r="L34" s="81">
        <v>1.4131944444444445E-2</v>
      </c>
      <c r="M34" s="548"/>
      <c r="N34" s="583"/>
    </row>
    <row r="35" spans="1:14" ht="45.75">
      <c r="A35" s="537"/>
      <c r="B35" s="563"/>
      <c r="C35" s="536" t="s">
        <v>278</v>
      </c>
      <c r="D35" s="19" t="s">
        <v>279</v>
      </c>
      <c r="E35" s="139" t="s">
        <v>1079</v>
      </c>
      <c r="F35" s="76"/>
      <c r="G35" s="21" t="s">
        <v>1080</v>
      </c>
      <c r="H35" s="21" t="s">
        <v>187</v>
      </c>
      <c r="I35" s="9" t="s">
        <v>188</v>
      </c>
      <c r="J35" s="1" t="s">
        <v>187</v>
      </c>
      <c r="K35" s="105" t="s">
        <v>1081</v>
      </c>
      <c r="L35" s="42">
        <v>1.4386574074074074E-2</v>
      </c>
      <c r="M35" s="548"/>
      <c r="N35" s="583"/>
    </row>
    <row r="36" spans="1:14" ht="30.75">
      <c r="A36" s="537"/>
      <c r="B36" s="563"/>
      <c r="C36" s="536"/>
      <c r="D36" s="19" t="s">
        <v>283</v>
      </c>
      <c r="E36" s="139" t="s">
        <v>1082</v>
      </c>
      <c r="F36" s="76"/>
      <c r="G36" s="21" t="s">
        <v>1083</v>
      </c>
      <c r="H36" s="21" t="s">
        <v>187</v>
      </c>
      <c r="I36" s="9" t="s">
        <v>188</v>
      </c>
      <c r="J36" s="1" t="s">
        <v>187</v>
      </c>
      <c r="K36" s="105" t="s">
        <v>1084</v>
      </c>
      <c r="L36" s="42">
        <v>1.4618055555555556E-2</v>
      </c>
      <c r="M36" s="548"/>
      <c r="N36" s="583"/>
    </row>
    <row r="37" spans="1:14" ht="30.75">
      <c r="A37" s="537"/>
      <c r="B37" s="563"/>
      <c r="C37" s="536"/>
      <c r="D37" s="19" t="s">
        <v>287</v>
      </c>
      <c r="E37" s="139" t="s">
        <v>1085</v>
      </c>
      <c r="F37" s="67"/>
      <c r="G37" s="21" t="s">
        <v>1086</v>
      </c>
      <c r="H37" s="21" t="s">
        <v>187</v>
      </c>
      <c r="I37" s="9" t="s">
        <v>188</v>
      </c>
      <c r="J37" s="1" t="s">
        <v>187</v>
      </c>
      <c r="K37" s="105" t="s">
        <v>1087</v>
      </c>
      <c r="L37" s="42">
        <v>1.4027777777777778E-2</v>
      </c>
      <c r="M37" s="548"/>
      <c r="N37" s="583"/>
    </row>
    <row r="38" spans="1:14" ht="30.75">
      <c r="A38" s="537"/>
      <c r="B38" s="563"/>
      <c r="C38" s="536" t="s">
        <v>291</v>
      </c>
      <c r="D38" s="19" t="s">
        <v>292</v>
      </c>
      <c r="E38" s="139" t="s">
        <v>1088</v>
      </c>
      <c r="F38" s="67"/>
      <c r="G38" s="21" t="s">
        <v>1089</v>
      </c>
      <c r="H38" s="21" t="s">
        <v>187</v>
      </c>
      <c r="I38" s="9" t="s">
        <v>188</v>
      </c>
      <c r="J38" s="1" t="s">
        <v>187</v>
      </c>
      <c r="K38" s="105" t="s">
        <v>1090</v>
      </c>
      <c r="L38" s="81">
        <v>1.3680555555555555E-2</v>
      </c>
      <c r="M38" s="548"/>
      <c r="N38" s="583"/>
    </row>
    <row r="39" spans="1:14">
      <c r="A39" s="537"/>
      <c r="B39" s="563"/>
      <c r="C39" s="536"/>
      <c r="D39" s="19" t="s">
        <v>297</v>
      </c>
      <c r="E39" s="139" t="s">
        <v>1091</v>
      </c>
      <c r="F39" s="76"/>
      <c r="G39" s="21" t="s">
        <v>1092</v>
      </c>
      <c r="H39" s="21" t="s">
        <v>187</v>
      </c>
      <c r="I39" s="9" t="s">
        <v>188</v>
      </c>
      <c r="J39" s="1" t="s">
        <v>187</v>
      </c>
      <c r="K39" s="105" t="s">
        <v>1093</v>
      </c>
      <c r="L39" s="81">
        <v>1.4606481481481481E-2</v>
      </c>
      <c r="M39" s="548"/>
      <c r="N39" s="583"/>
    </row>
    <row r="40" spans="1:14">
      <c r="A40" s="537"/>
      <c r="B40" s="563"/>
      <c r="C40" s="536" t="s">
        <v>305</v>
      </c>
      <c r="D40" s="19" t="s">
        <v>301</v>
      </c>
      <c r="E40" s="32" t="s">
        <v>1094</v>
      </c>
      <c r="F40" s="77"/>
      <c r="G40" s="246" t="s">
        <v>1095</v>
      </c>
      <c r="H40" s="21" t="s">
        <v>187</v>
      </c>
      <c r="I40" s="9" t="s">
        <v>188</v>
      </c>
      <c r="J40" s="1" t="s">
        <v>187</v>
      </c>
      <c r="K40" s="125" t="s">
        <v>1096</v>
      </c>
      <c r="L40" s="81">
        <v>1.4490740740740742E-2</v>
      </c>
      <c r="M40" s="548"/>
      <c r="N40" s="583"/>
    </row>
    <row r="41" spans="1:14">
      <c r="A41" s="537"/>
      <c r="B41" s="563"/>
      <c r="C41" s="536"/>
      <c r="D41" s="19" t="s">
        <v>306</v>
      </c>
      <c r="E41" s="32" t="s">
        <v>1097</v>
      </c>
      <c r="F41" s="77"/>
      <c r="G41" s="21" t="s">
        <v>1098</v>
      </c>
      <c r="H41" s="21" t="s">
        <v>187</v>
      </c>
      <c r="I41" s="9" t="s">
        <v>188</v>
      </c>
      <c r="J41" s="1" t="s">
        <v>187</v>
      </c>
      <c r="K41" s="105" t="s">
        <v>1099</v>
      </c>
      <c r="L41" s="81">
        <v>1.4791666666666667E-2</v>
      </c>
      <c r="M41" s="548"/>
      <c r="N41" s="583"/>
    </row>
    <row r="42" spans="1:14" ht="15" hidden="1" customHeight="1">
      <c r="A42" s="537"/>
      <c r="B42" s="563"/>
      <c r="C42" s="536"/>
      <c r="D42" s="19" t="s">
        <v>425</v>
      </c>
      <c r="F42" s="77"/>
      <c r="G42" s="21"/>
      <c r="H42" s="21"/>
      <c r="I42" s="9" t="s">
        <v>1100</v>
      </c>
      <c r="J42" s="28"/>
      <c r="K42" s="43"/>
      <c r="L42" s="81"/>
      <c r="M42" s="548"/>
      <c r="N42" s="583"/>
    </row>
    <row r="43" spans="1:14" ht="15" hidden="1" customHeight="1">
      <c r="A43" s="537"/>
      <c r="B43" s="563"/>
      <c r="C43" s="536"/>
      <c r="D43" s="19" t="s">
        <v>429</v>
      </c>
      <c r="F43" s="68"/>
      <c r="G43" s="21"/>
      <c r="H43" s="21"/>
      <c r="I43" s="9" t="s">
        <v>1100</v>
      </c>
      <c r="J43" s="37"/>
      <c r="K43" s="43"/>
      <c r="L43" s="81"/>
      <c r="M43" s="548"/>
      <c r="N43" s="583"/>
    </row>
    <row r="44" spans="1:14" ht="15" hidden="1" customHeight="1">
      <c r="A44" s="537"/>
      <c r="B44" s="563"/>
      <c r="C44" s="535" t="s">
        <v>365</v>
      </c>
      <c r="D44" s="19" t="s">
        <v>433</v>
      </c>
      <c r="F44" s="68"/>
      <c r="G44" s="21"/>
      <c r="H44" s="21"/>
      <c r="I44" s="9" t="s">
        <v>1100</v>
      </c>
      <c r="J44" s="28"/>
      <c r="K44" s="43"/>
      <c r="L44" s="81"/>
      <c r="M44" s="548"/>
      <c r="N44" s="583"/>
    </row>
    <row r="45" spans="1:14" ht="15" hidden="1" customHeight="1">
      <c r="A45" s="537"/>
      <c r="B45" s="563"/>
      <c r="C45" s="535"/>
      <c r="D45" s="19" t="s">
        <v>437</v>
      </c>
      <c r="F45" s="68"/>
      <c r="G45" s="21"/>
      <c r="H45" s="21"/>
      <c r="I45" s="9" t="s">
        <v>1100</v>
      </c>
      <c r="J45" s="28"/>
      <c r="K45" s="43"/>
      <c r="L45" s="81"/>
      <c r="M45" s="548"/>
      <c r="N45" s="583"/>
    </row>
    <row r="46" spans="1:14" ht="15" hidden="1" customHeight="1">
      <c r="A46" s="537"/>
      <c r="B46" s="563"/>
      <c r="C46" s="535"/>
      <c r="D46" s="19" t="s">
        <v>639</v>
      </c>
      <c r="F46" s="68"/>
      <c r="G46" s="21"/>
      <c r="H46" s="21"/>
      <c r="I46" s="9" t="s">
        <v>1100</v>
      </c>
      <c r="J46" s="28"/>
      <c r="K46" s="43"/>
      <c r="L46" s="81"/>
      <c r="M46" s="548"/>
      <c r="N46" s="583"/>
    </row>
    <row r="47" spans="1:14" s="13" customFormat="1"/>
    <row r="48" spans="1:14" ht="14.25" customHeight="1">
      <c r="A48" s="551" t="s">
        <v>66</v>
      </c>
      <c r="B48" s="590" t="str">
        <f>VLOOKUP(A48,Geral!$A$1:$D$36,2,FALSE)</f>
        <v>Projeto Integrador II - Negócios e Produção</v>
      </c>
      <c r="C48" s="591" t="s">
        <v>183</v>
      </c>
      <c r="D48" s="19" t="s">
        <v>217</v>
      </c>
      <c r="E48" s="32" t="s">
        <v>185</v>
      </c>
      <c r="F48" s="8"/>
      <c r="G48" s="21" t="s">
        <v>1101</v>
      </c>
      <c r="H48" s="175" t="s">
        <v>565</v>
      </c>
      <c r="I48" s="9" t="s">
        <v>188</v>
      </c>
      <c r="J48" s="10" t="s">
        <v>187</v>
      </c>
      <c r="K48" s="230" t="s">
        <v>1102</v>
      </c>
      <c r="L48" s="81">
        <v>1.3425925925925925E-3</v>
      </c>
      <c r="M48" s="573" t="str">
        <f>VLOOKUP(A48,Geral!$A$1:$D$36,3,FALSE)</f>
        <v>Antonio Francisco Savi</v>
      </c>
      <c r="N48" s="573" t="str">
        <f>VLOOKUP(A48,Geral!$A$1:$D$36,4,FALSE)</f>
        <v>Alfredo</v>
      </c>
    </row>
    <row r="49" spans="1:18" ht="47.25" customHeight="1">
      <c r="A49" s="551"/>
      <c r="B49" s="590"/>
      <c r="C49" s="592"/>
      <c r="D49" s="22" t="s">
        <v>184</v>
      </c>
      <c r="E49" s="32" t="s">
        <v>220</v>
      </c>
      <c r="F49" s="11" t="s">
        <v>1103</v>
      </c>
      <c r="G49" s="21" t="s">
        <v>1104</v>
      </c>
      <c r="H49" s="175" t="s">
        <v>565</v>
      </c>
      <c r="I49" s="9" t="s">
        <v>188</v>
      </c>
      <c r="J49" s="10" t="s">
        <v>187</v>
      </c>
      <c r="K49" s="230" t="s">
        <v>1105</v>
      </c>
      <c r="L49" s="81">
        <v>1.1076388888888889E-2</v>
      </c>
      <c r="M49" s="573"/>
      <c r="N49" s="573"/>
    </row>
    <row r="50" spans="1:18" ht="66" customHeight="1">
      <c r="A50" s="551"/>
      <c r="B50" s="590"/>
      <c r="C50" s="592"/>
      <c r="D50" s="22" t="s">
        <v>190</v>
      </c>
      <c r="E50" s="32" t="s">
        <v>1106</v>
      </c>
      <c r="F50" s="8" t="s">
        <v>1107</v>
      </c>
      <c r="G50" s="21" t="s">
        <v>1108</v>
      </c>
      <c r="H50" s="175" t="s">
        <v>565</v>
      </c>
      <c r="I50" s="9" t="s">
        <v>188</v>
      </c>
      <c r="J50" s="10" t="s">
        <v>187</v>
      </c>
      <c r="K50" s="230" t="s">
        <v>1109</v>
      </c>
      <c r="L50" s="81">
        <v>1.3090277777777777E-2</v>
      </c>
      <c r="M50" s="573"/>
      <c r="N50" s="573"/>
    </row>
    <row r="51" spans="1:18" ht="66" customHeight="1">
      <c r="A51" s="551"/>
      <c r="B51" s="590"/>
      <c r="C51" s="588" t="s">
        <v>223</v>
      </c>
      <c r="D51" s="22" t="s">
        <v>195</v>
      </c>
      <c r="E51" s="32" t="s">
        <v>1110</v>
      </c>
      <c r="F51" s="8" t="s">
        <v>1111</v>
      </c>
      <c r="G51" s="21" t="s">
        <v>1112</v>
      </c>
      <c r="H51" s="175" t="s">
        <v>565</v>
      </c>
      <c r="I51" s="9" t="s">
        <v>188</v>
      </c>
      <c r="J51" s="10" t="s">
        <v>187</v>
      </c>
      <c r="K51" s="230" t="s">
        <v>1113</v>
      </c>
      <c r="L51" s="81">
        <v>9.525462962962963E-3</v>
      </c>
      <c r="M51" s="573"/>
      <c r="N51" s="573"/>
      <c r="P51" s="32"/>
      <c r="Q51" s="8"/>
      <c r="R51" s="57"/>
    </row>
    <row r="52" spans="1:18" ht="66" customHeight="1">
      <c r="A52" s="551"/>
      <c r="B52" s="590"/>
      <c r="C52" s="593"/>
      <c r="D52" s="19" t="s">
        <v>199</v>
      </c>
      <c r="E52" s="32" t="s">
        <v>1114</v>
      </c>
      <c r="F52" s="8" t="s">
        <v>1115</v>
      </c>
      <c r="G52" s="21" t="s">
        <v>1116</v>
      </c>
      <c r="H52"/>
      <c r="I52" s="9" t="s">
        <v>188</v>
      </c>
      <c r="J52" s="10" t="s">
        <v>187</v>
      </c>
      <c r="K52" s="230" t="s">
        <v>1117</v>
      </c>
      <c r="L52" s="81">
        <v>8.4375000000000006E-3</v>
      </c>
      <c r="M52" s="573"/>
      <c r="N52" s="573"/>
    </row>
    <row r="53" spans="1:18" ht="60" customHeight="1">
      <c r="A53" s="551"/>
      <c r="B53" s="590"/>
      <c r="C53" s="12" t="s">
        <v>194</v>
      </c>
      <c r="D53" s="19" t="s">
        <v>204</v>
      </c>
      <c r="E53" s="32" t="s">
        <v>1118</v>
      </c>
      <c r="F53" s="8" t="s">
        <v>1119</v>
      </c>
      <c r="G53" s="21" t="s">
        <v>1120</v>
      </c>
      <c r="H53" s="175" t="s">
        <v>565</v>
      </c>
      <c r="I53" s="9" t="s">
        <v>188</v>
      </c>
      <c r="J53" s="10" t="s">
        <v>187</v>
      </c>
      <c r="K53" s="230" t="s">
        <v>1121</v>
      </c>
      <c r="L53" s="81">
        <v>8.611111111111111E-3</v>
      </c>
      <c r="M53" s="573"/>
      <c r="N53" s="573"/>
    </row>
    <row r="54" spans="1:18" ht="63.75" customHeight="1">
      <c r="A54" s="551"/>
      <c r="B54" s="590"/>
      <c r="C54" s="12" t="s">
        <v>203</v>
      </c>
      <c r="D54" s="19" t="s">
        <v>208</v>
      </c>
      <c r="E54" s="32" t="s">
        <v>237</v>
      </c>
      <c r="F54" s="8" t="s">
        <v>1122</v>
      </c>
      <c r="G54" s="21" t="s">
        <v>1123</v>
      </c>
      <c r="H54" s="175" t="s">
        <v>565</v>
      </c>
      <c r="I54" s="9" t="s">
        <v>188</v>
      </c>
      <c r="J54" s="10" t="s">
        <v>187</v>
      </c>
      <c r="K54" s="230" t="s">
        <v>1124</v>
      </c>
      <c r="L54" s="81">
        <v>7.8703703703703696E-3</v>
      </c>
      <c r="M54" s="573"/>
      <c r="N54" s="573"/>
    </row>
    <row r="55" spans="1:18" ht="63.75" customHeight="1">
      <c r="A55" s="551"/>
      <c r="B55" s="590"/>
      <c r="C55" s="12" t="s">
        <v>233</v>
      </c>
      <c r="D55" s="19" t="s">
        <v>213</v>
      </c>
      <c r="E55" s="32" t="s">
        <v>241</v>
      </c>
      <c r="F55" s="8" t="s">
        <v>1125</v>
      </c>
      <c r="G55" s="21" t="s">
        <v>1126</v>
      </c>
      <c r="H55" s="175" t="s">
        <v>565</v>
      </c>
      <c r="I55" s="9" t="s">
        <v>188</v>
      </c>
      <c r="J55" s="10" t="s">
        <v>187</v>
      </c>
      <c r="K55" s="95" t="s">
        <v>1127</v>
      </c>
      <c r="L55" s="81">
        <v>9.0509259259259258E-3</v>
      </c>
      <c r="M55" s="573"/>
      <c r="N55" s="573"/>
    </row>
    <row r="56" spans="1:18" s="13" customFormat="1">
      <c r="K56" s="223"/>
    </row>
    <row r="57" spans="1:18" ht="15" customHeight="1">
      <c r="A57" s="537" t="s">
        <v>68</v>
      </c>
      <c r="B57" s="563" t="str">
        <f>VLOOKUP(A57,Geral!$A$1:$D$36,2,FALSE)</f>
        <v>Aprendizagem e gestão do conhecimento</v>
      </c>
      <c r="C57" s="535" t="s">
        <v>245</v>
      </c>
      <c r="D57" s="19" t="s">
        <v>217</v>
      </c>
      <c r="E57" s="139" t="s">
        <v>185</v>
      </c>
      <c r="F57" s="65"/>
      <c r="G57" s="21" t="s">
        <v>1128</v>
      </c>
      <c r="H57" s="21" t="s">
        <v>565</v>
      </c>
      <c r="I57" s="9" t="s">
        <v>188</v>
      </c>
      <c r="J57" s="47" t="s">
        <v>187</v>
      </c>
      <c r="K57" s="359" t="s">
        <v>1129</v>
      </c>
      <c r="L57" s="240">
        <v>1.7708333333333332E-3</v>
      </c>
      <c r="M57" s="548" t="str">
        <f>VLOOKUP(A57,Geral!$A$1:$D$36,3,FALSE)</f>
        <v>Cíntia Cristina Silva de Araújo</v>
      </c>
      <c r="N57" s="589" t="str">
        <f>VLOOKUP(A57,Geral!$A$1:$D$36,4,FALSE)</f>
        <v>Ieda</v>
      </c>
    </row>
    <row r="58" spans="1:18">
      <c r="A58" s="538"/>
      <c r="B58" s="564"/>
      <c r="C58" s="535"/>
      <c r="D58" s="22" t="s">
        <v>184</v>
      </c>
      <c r="E58" s="139" t="s">
        <v>1130</v>
      </c>
      <c r="F58" s="66"/>
      <c r="G58" s="21" t="s">
        <v>1131</v>
      </c>
      <c r="H58" s="21" t="s">
        <v>565</v>
      </c>
      <c r="I58" s="9" t="s">
        <v>188</v>
      </c>
      <c r="J58" s="47" t="s">
        <v>187</v>
      </c>
      <c r="K58" s="317" t="s">
        <v>1132</v>
      </c>
      <c r="L58" s="94">
        <v>1.6319444444444445E-2</v>
      </c>
      <c r="M58" s="548"/>
      <c r="N58" s="572"/>
    </row>
    <row r="59" spans="1:18">
      <c r="A59" s="538"/>
      <c r="B59" s="564"/>
      <c r="C59" s="535"/>
      <c r="D59" s="22" t="s">
        <v>190</v>
      </c>
      <c r="E59" s="139" t="s">
        <v>1133</v>
      </c>
      <c r="F59" s="66"/>
      <c r="G59" s="21" t="s">
        <v>1134</v>
      </c>
      <c r="H59" s="21" t="s">
        <v>565</v>
      </c>
      <c r="I59" s="9" t="s">
        <v>188</v>
      </c>
      <c r="J59" s="47" t="s">
        <v>187</v>
      </c>
      <c r="K59" s="317" t="s">
        <v>1135</v>
      </c>
      <c r="L59" s="94">
        <v>1.5532407407407408E-2</v>
      </c>
      <c r="M59" s="548"/>
      <c r="N59" s="572"/>
    </row>
    <row r="60" spans="1:18">
      <c r="A60" s="538"/>
      <c r="B60" s="564"/>
      <c r="C60" s="168"/>
      <c r="D60" s="22" t="s">
        <v>1136</v>
      </c>
      <c r="E60" s="139" t="s">
        <v>1137</v>
      </c>
      <c r="F60" s="66"/>
      <c r="G60" s="256" t="s">
        <v>1138</v>
      </c>
      <c r="H60" s="21"/>
      <c r="I60" s="9" t="s">
        <v>188</v>
      </c>
      <c r="J60" s="47" t="s">
        <v>187</v>
      </c>
      <c r="K60" s="317" t="s">
        <v>1139</v>
      </c>
      <c r="L60" s="94">
        <v>1.8402777777777777E-3</v>
      </c>
      <c r="M60" s="548"/>
      <c r="N60" s="572"/>
    </row>
    <row r="61" spans="1:18" ht="30.75">
      <c r="A61" s="538"/>
      <c r="B61" s="564"/>
      <c r="C61" s="536" t="s">
        <v>266</v>
      </c>
      <c r="D61" s="22" t="s">
        <v>195</v>
      </c>
      <c r="E61" s="139" t="s">
        <v>1140</v>
      </c>
      <c r="F61" s="66"/>
      <c r="G61" s="21" t="s">
        <v>1141</v>
      </c>
      <c r="H61" s="21" t="s">
        <v>565</v>
      </c>
      <c r="I61" s="9" t="s">
        <v>188</v>
      </c>
      <c r="J61" s="47" t="s">
        <v>187</v>
      </c>
      <c r="K61" s="317" t="s">
        <v>1142</v>
      </c>
      <c r="L61" s="94">
        <v>1.5173611111111112E-2</v>
      </c>
      <c r="M61" s="548"/>
      <c r="N61" s="572"/>
    </row>
    <row r="62" spans="1:18">
      <c r="A62" s="538"/>
      <c r="B62" s="564"/>
      <c r="C62" s="536"/>
      <c r="D62" s="19" t="s">
        <v>199</v>
      </c>
      <c r="E62" s="139" t="s">
        <v>1143</v>
      </c>
      <c r="F62" s="76"/>
      <c r="G62" s="21" t="s">
        <v>1144</v>
      </c>
      <c r="H62" s="21" t="s">
        <v>565</v>
      </c>
      <c r="I62" s="9" t="s">
        <v>188</v>
      </c>
      <c r="J62" s="48" t="s">
        <v>187</v>
      </c>
      <c r="K62" s="317" t="s">
        <v>1145</v>
      </c>
      <c r="L62" s="94">
        <v>1.5335648148148149E-2</v>
      </c>
      <c r="M62" s="548"/>
      <c r="N62" s="572"/>
    </row>
    <row r="63" spans="1:18">
      <c r="A63" s="538"/>
      <c r="B63" s="564"/>
      <c r="C63" s="536"/>
      <c r="D63" s="19" t="s">
        <v>204</v>
      </c>
      <c r="E63" s="139" t="s">
        <v>1146</v>
      </c>
      <c r="F63" s="76"/>
      <c r="G63" s="21" t="s">
        <v>1147</v>
      </c>
      <c r="H63" s="21" t="s">
        <v>565</v>
      </c>
      <c r="I63" s="9" t="s">
        <v>188</v>
      </c>
      <c r="J63" s="48" t="s">
        <v>187</v>
      </c>
      <c r="K63" s="317" t="s">
        <v>1148</v>
      </c>
      <c r="L63" s="94">
        <v>1.5034722222222222E-2</v>
      </c>
      <c r="M63" s="548"/>
      <c r="N63" s="572"/>
    </row>
    <row r="64" spans="1:18">
      <c r="A64" s="538"/>
      <c r="B64" s="564"/>
      <c r="C64" s="536" t="s">
        <v>278</v>
      </c>
      <c r="D64" s="19" t="s">
        <v>208</v>
      </c>
      <c r="E64" s="139" t="s">
        <v>1149</v>
      </c>
      <c r="F64" s="76"/>
      <c r="G64" s="21" t="s">
        <v>1150</v>
      </c>
      <c r="H64" s="21" t="s">
        <v>565</v>
      </c>
      <c r="I64" s="9" t="s">
        <v>188</v>
      </c>
      <c r="J64" s="49" t="s">
        <v>187</v>
      </c>
      <c r="K64" s="317" t="s">
        <v>1151</v>
      </c>
      <c r="L64" s="94">
        <v>1.5439814814814814E-2</v>
      </c>
      <c r="M64" s="548"/>
      <c r="N64" s="572"/>
    </row>
    <row r="65" spans="1:14">
      <c r="A65" s="538"/>
      <c r="B65" s="564"/>
      <c r="C65" s="536"/>
      <c r="D65" s="19" t="s">
        <v>213</v>
      </c>
      <c r="E65" s="139" t="s">
        <v>1152</v>
      </c>
      <c r="F65" s="67"/>
      <c r="G65" s="21" t="s">
        <v>1153</v>
      </c>
      <c r="H65" s="21" t="s">
        <v>565</v>
      </c>
      <c r="I65" s="9" t="s">
        <v>188</v>
      </c>
      <c r="J65" s="49" t="s">
        <v>187</v>
      </c>
      <c r="K65" s="317" t="s">
        <v>1154</v>
      </c>
      <c r="L65" s="94">
        <v>1.545138888888889E-2</v>
      </c>
      <c r="M65" s="548"/>
      <c r="N65" s="572"/>
    </row>
    <row r="66" spans="1:14" ht="30.75">
      <c r="A66" s="538"/>
      <c r="B66" s="564"/>
      <c r="C66" s="536"/>
      <c r="D66" s="19" t="s">
        <v>270</v>
      </c>
      <c r="E66" s="139" t="s">
        <v>1155</v>
      </c>
      <c r="F66" s="67"/>
      <c r="G66" s="21" t="s">
        <v>1156</v>
      </c>
      <c r="H66" s="21" t="s">
        <v>565</v>
      </c>
      <c r="I66" s="9" t="s">
        <v>188</v>
      </c>
      <c r="J66" s="49" t="s">
        <v>187</v>
      </c>
      <c r="K66" s="317" t="s">
        <v>1157</v>
      </c>
      <c r="L66" s="94">
        <v>1.607638888888889E-2</v>
      </c>
      <c r="M66" s="548"/>
      <c r="N66" s="572"/>
    </row>
    <row r="67" spans="1:14">
      <c r="A67" s="538"/>
      <c r="B67" s="564"/>
      <c r="C67" s="536" t="s">
        <v>291</v>
      </c>
      <c r="D67" s="19" t="s">
        <v>274</v>
      </c>
      <c r="E67" s="139" t="s">
        <v>1158</v>
      </c>
      <c r="F67" s="76"/>
      <c r="G67" s="21" t="s">
        <v>1159</v>
      </c>
      <c r="H67" s="21" t="s">
        <v>565</v>
      </c>
      <c r="I67" s="9" t="s">
        <v>188</v>
      </c>
      <c r="J67" s="48" t="s">
        <v>187</v>
      </c>
      <c r="K67" s="317" t="s">
        <v>1160</v>
      </c>
      <c r="L67" s="94">
        <v>1.5138888888888889E-2</v>
      </c>
      <c r="M67" s="548"/>
      <c r="N67" s="572"/>
    </row>
    <row r="68" spans="1:14" ht="30.75">
      <c r="A68" s="538"/>
      <c r="B68" s="564"/>
      <c r="C68" s="536"/>
      <c r="D68" s="19" t="s">
        <v>279</v>
      </c>
      <c r="E68" s="139" t="s">
        <v>1161</v>
      </c>
      <c r="F68" s="76"/>
      <c r="G68" s="21" t="s">
        <v>1162</v>
      </c>
      <c r="H68" s="21" t="s">
        <v>565</v>
      </c>
      <c r="I68" s="9" t="s">
        <v>188</v>
      </c>
      <c r="J68" s="48" t="s">
        <v>187</v>
      </c>
      <c r="K68" s="317" t="s">
        <v>1163</v>
      </c>
      <c r="L68" s="94">
        <v>1.4131944444444445E-2</v>
      </c>
      <c r="M68" s="548"/>
      <c r="N68" s="572"/>
    </row>
    <row r="69" spans="1:14">
      <c r="A69" s="538"/>
      <c r="B69" s="564"/>
      <c r="C69" s="536"/>
      <c r="D69" s="19" t="s">
        <v>283</v>
      </c>
      <c r="E69" s="139" t="s">
        <v>1164</v>
      </c>
      <c r="F69" s="76"/>
      <c r="G69" s="21" t="s">
        <v>1165</v>
      </c>
      <c r="H69" s="21" t="s">
        <v>565</v>
      </c>
      <c r="I69" s="9" t="s">
        <v>188</v>
      </c>
      <c r="J69" s="48" t="s">
        <v>187</v>
      </c>
      <c r="K69" s="317" t="s">
        <v>1166</v>
      </c>
      <c r="L69" s="94">
        <v>1.6284722222222221E-2</v>
      </c>
      <c r="M69" s="548"/>
      <c r="N69" s="572"/>
    </row>
    <row r="70" spans="1:14">
      <c r="A70" s="538"/>
      <c r="B70" s="564"/>
      <c r="C70" s="168"/>
      <c r="D70" s="19" t="s">
        <v>1167</v>
      </c>
      <c r="E70" s="139" t="s">
        <v>1168</v>
      </c>
      <c r="F70" s="77"/>
      <c r="G70" s="21" t="s">
        <v>1169</v>
      </c>
      <c r="H70" s="21"/>
      <c r="I70" s="9" t="s">
        <v>188</v>
      </c>
      <c r="J70" s="48" t="s">
        <v>187</v>
      </c>
      <c r="K70" s="317" t="s">
        <v>1170</v>
      </c>
      <c r="L70" s="94">
        <v>1.8055555555555555E-3</v>
      </c>
      <c r="M70" s="548"/>
      <c r="N70" s="572"/>
    </row>
    <row r="71" spans="1:14" ht="30.75">
      <c r="A71" s="538"/>
      <c r="B71" s="564"/>
      <c r="C71" s="535" t="s">
        <v>305</v>
      </c>
      <c r="D71" s="19" t="s">
        <v>287</v>
      </c>
      <c r="E71" s="139" t="s">
        <v>1171</v>
      </c>
      <c r="F71" s="67"/>
      <c r="G71" s="21" t="s">
        <v>1172</v>
      </c>
      <c r="H71" s="21" t="s">
        <v>565</v>
      </c>
      <c r="I71" s="9" t="s">
        <v>188</v>
      </c>
      <c r="J71" s="48" t="s">
        <v>187</v>
      </c>
      <c r="K71" s="317" t="s">
        <v>1173</v>
      </c>
      <c r="L71" s="94">
        <v>1.4282407407407407E-2</v>
      </c>
      <c r="M71" s="548"/>
      <c r="N71" s="572"/>
    </row>
    <row r="72" spans="1:14" ht="30.75">
      <c r="A72" s="538"/>
      <c r="B72" s="564"/>
      <c r="C72" s="536"/>
      <c r="D72" s="19" t="s">
        <v>292</v>
      </c>
      <c r="E72" s="139" t="s">
        <v>1174</v>
      </c>
      <c r="F72" s="67"/>
      <c r="G72" s="21" t="s">
        <v>1175</v>
      </c>
      <c r="H72" s="21" t="s">
        <v>565</v>
      </c>
      <c r="I72" s="9" t="s">
        <v>188</v>
      </c>
      <c r="J72" s="48" t="s">
        <v>187</v>
      </c>
      <c r="K72" s="317" t="s">
        <v>1176</v>
      </c>
      <c r="L72" s="94">
        <v>1.4386574074074074E-2</v>
      </c>
      <c r="M72" s="548"/>
      <c r="N72" s="572"/>
    </row>
    <row r="73" spans="1:14" ht="30.75">
      <c r="A73" s="538"/>
      <c r="B73" s="564"/>
      <c r="C73" s="536"/>
      <c r="D73" s="19" t="s">
        <v>297</v>
      </c>
      <c r="E73" s="139" t="s">
        <v>1177</v>
      </c>
      <c r="F73" s="76"/>
      <c r="G73" s="21" t="s">
        <v>1178</v>
      </c>
      <c r="H73" s="21" t="s">
        <v>565</v>
      </c>
      <c r="I73" s="9" t="s">
        <v>188</v>
      </c>
      <c r="J73" s="48" t="s">
        <v>187</v>
      </c>
      <c r="K73" s="317" t="s">
        <v>1179</v>
      </c>
      <c r="L73" s="94">
        <v>1.40625E-2</v>
      </c>
      <c r="M73" s="548"/>
      <c r="N73" s="572"/>
    </row>
    <row r="74" spans="1:14" ht="30.75">
      <c r="A74" s="538"/>
      <c r="B74" s="564"/>
      <c r="C74" s="536" t="s">
        <v>365</v>
      </c>
      <c r="D74" s="19" t="s">
        <v>301</v>
      </c>
      <c r="E74" s="139" t="s">
        <v>1180</v>
      </c>
      <c r="F74" s="77"/>
      <c r="G74" s="21" t="s">
        <v>1181</v>
      </c>
      <c r="H74" s="21" t="s">
        <v>565</v>
      </c>
      <c r="I74" s="9" t="s">
        <v>188</v>
      </c>
      <c r="J74" s="48" t="s">
        <v>187</v>
      </c>
      <c r="K74" s="317" t="s">
        <v>1182</v>
      </c>
      <c r="L74" s="94">
        <v>1.4050925925925927E-2</v>
      </c>
      <c r="M74" s="548"/>
      <c r="N74" s="572"/>
    </row>
    <row r="75" spans="1:14" ht="30.75">
      <c r="A75" s="538"/>
      <c r="B75" s="564"/>
      <c r="C75" s="536"/>
      <c r="D75" s="19" t="s">
        <v>306</v>
      </c>
      <c r="E75" s="140" t="s">
        <v>1183</v>
      </c>
      <c r="G75" s="21" t="s">
        <v>1184</v>
      </c>
      <c r="H75" s="44" t="s">
        <v>565</v>
      </c>
      <c r="I75" s="9" t="s">
        <v>188</v>
      </c>
      <c r="J75" s="1" t="s">
        <v>187</v>
      </c>
      <c r="K75" s="313" t="s">
        <v>1185</v>
      </c>
      <c r="L75" s="94">
        <v>1.4166666666666666E-2</v>
      </c>
      <c r="M75" s="548"/>
      <c r="N75" s="572"/>
    </row>
    <row r="76" spans="1:14" ht="30.75">
      <c r="A76" s="538"/>
      <c r="B76" s="564"/>
      <c r="C76" s="536"/>
      <c r="D76" s="19" t="s">
        <v>425</v>
      </c>
      <c r="E76" s="139" t="s">
        <v>1186</v>
      </c>
      <c r="F76" s="77"/>
      <c r="G76" s="21" t="s">
        <v>1187</v>
      </c>
      <c r="H76" s="21" t="s">
        <v>565</v>
      </c>
      <c r="I76" s="9" t="s">
        <v>188</v>
      </c>
      <c r="J76" s="48" t="s">
        <v>187</v>
      </c>
      <c r="K76" s="313" t="s">
        <v>1188</v>
      </c>
      <c r="L76" s="94">
        <v>1.443287037037037E-2</v>
      </c>
      <c r="M76" s="548"/>
      <c r="N76" s="572"/>
    </row>
    <row r="77" spans="1:14">
      <c r="A77" s="566"/>
      <c r="B77" s="570"/>
      <c r="C77" s="164"/>
      <c r="D77" s="165" t="s">
        <v>1189</v>
      </c>
      <c r="E77" s="166" t="s">
        <v>1190</v>
      </c>
      <c r="F77" s="39"/>
      <c r="G77" s="21" t="s">
        <v>1191</v>
      </c>
      <c r="H77" s="213"/>
      <c r="I77" s="9" t="s">
        <v>188</v>
      </c>
      <c r="J77" s="167" t="s">
        <v>187</v>
      </c>
      <c r="K77" s="360" t="s">
        <v>1192</v>
      </c>
      <c r="L77" s="94">
        <v>1.4814814814814814E-3</v>
      </c>
      <c r="M77" s="548"/>
      <c r="N77" s="572"/>
    </row>
    <row r="78" spans="1:14" s="13" customFormat="1"/>
    <row r="79" spans="1:14" ht="15" customHeight="1">
      <c r="A79" s="537" t="s">
        <v>71</v>
      </c>
      <c r="B79" s="563" t="str">
        <f>VLOOKUP(A79,Geral!$A$1:$D$36,2,FALSE)</f>
        <v>Estratégias Financeiras</v>
      </c>
      <c r="C79" s="533" t="s">
        <v>245</v>
      </c>
      <c r="D79" s="19" t="s">
        <v>217</v>
      </c>
      <c r="E79" s="32" t="s">
        <v>185</v>
      </c>
      <c r="F79" s="65"/>
      <c r="G79" s="246" t="s">
        <v>1193</v>
      </c>
      <c r="H79" s="21"/>
      <c r="I79" s="9" t="s">
        <v>188</v>
      </c>
      <c r="J79" s="10" t="s">
        <v>187</v>
      </c>
      <c r="K79" s="308" t="s">
        <v>1194</v>
      </c>
      <c r="L79" s="94">
        <v>1.6203703703703703E-3</v>
      </c>
      <c r="M79" s="548" t="str">
        <f>VLOOKUP(A79,Geral!$A$1:$D$36,3,FALSE)</f>
        <v xml:space="preserve">Roberto Alexandre Zanchetta Borghi </v>
      </c>
      <c r="N79" s="583" t="str">
        <f>VLOOKUP(A79,Geral!$A$1:$D$36,4,FALSE)</f>
        <v>Mirtes</v>
      </c>
    </row>
    <row r="80" spans="1:14">
      <c r="A80" s="538"/>
      <c r="B80" s="564"/>
      <c r="C80" s="532"/>
      <c r="D80" s="22" t="s">
        <v>184</v>
      </c>
      <c r="E80" s="32" t="s">
        <v>1195</v>
      </c>
      <c r="F80" s="323"/>
      <c r="G80" s="246" t="s">
        <v>1196</v>
      </c>
      <c r="H80" s="21" t="s">
        <v>187</v>
      </c>
      <c r="I80" s="9" t="s">
        <v>188</v>
      </c>
      <c r="J80" s="10" t="s">
        <v>187</v>
      </c>
      <c r="K80" s="308" t="s">
        <v>1197</v>
      </c>
      <c r="L80" s="94">
        <v>1.6111111111111111E-2</v>
      </c>
      <c r="M80" s="543"/>
      <c r="N80" s="583"/>
    </row>
    <row r="81" spans="1:14">
      <c r="A81" s="538"/>
      <c r="B81" s="564"/>
      <c r="C81" s="532"/>
      <c r="D81" s="22" t="s">
        <v>190</v>
      </c>
      <c r="E81" s="32" t="s">
        <v>1198</v>
      </c>
      <c r="F81" s="66"/>
      <c r="G81" s="246" t="s">
        <v>1199</v>
      </c>
      <c r="H81" s="21" t="s">
        <v>187</v>
      </c>
      <c r="I81" s="9" t="s">
        <v>188</v>
      </c>
      <c r="J81" s="10" t="s">
        <v>187</v>
      </c>
      <c r="K81" s="308" t="s">
        <v>1200</v>
      </c>
      <c r="L81" s="94">
        <v>1.8425925925925925E-2</v>
      </c>
      <c r="M81" s="543"/>
      <c r="N81" s="583"/>
    </row>
    <row r="82" spans="1:14">
      <c r="A82" s="538"/>
      <c r="B82" s="564"/>
      <c r="C82" s="532"/>
      <c r="D82" s="22" t="s">
        <v>195</v>
      </c>
      <c r="E82" s="32" t="s">
        <v>1201</v>
      </c>
      <c r="F82" s="66"/>
      <c r="G82" s="246" t="s">
        <v>1202</v>
      </c>
      <c r="H82" s="21" t="s">
        <v>187</v>
      </c>
      <c r="I82" s="9" t="s">
        <v>188</v>
      </c>
      <c r="J82" s="10" t="s">
        <v>187</v>
      </c>
      <c r="K82" s="308" t="s">
        <v>1203</v>
      </c>
      <c r="L82" s="94">
        <v>1.3287037037037036E-2</v>
      </c>
      <c r="M82" s="543"/>
      <c r="N82" s="583"/>
    </row>
    <row r="83" spans="1:14">
      <c r="A83" s="538"/>
      <c r="B83" s="564"/>
      <c r="C83" s="532" t="s">
        <v>256</v>
      </c>
      <c r="D83" s="19" t="s">
        <v>199</v>
      </c>
      <c r="E83" s="32" t="s">
        <v>1204</v>
      </c>
      <c r="F83" s="21"/>
      <c r="G83" s="246" t="s">
        <v>1205</v>
      </c>
      <c r="H83" s="21" t="s">
        <v>187</v>
      </c>
      <c r="I83" s="9" t="s">
        <v>188</v>
      </c>
      <c r="J83" s="28" t="s">
        <v>187</v>
      </c>
      <c r="K83" s="308" t="s">
        <v>1206</v>
      </c>
      <c r="L83" s="94">
        <v>1.2488425925925925E-2</v>
      </c>
      <c r="M83" s="543"/>
      <c r="N83" s="583"/>
    </row>
    <row r="84" spans="1:14" ht="30.75">
      <c r="A84" s="538"/>
      <c r="B84" s="564"/>
      <c r="C84" s="532"/>
      <c r="D84" s="19" t="s">
        <v>204</v>
      </c>
      <c r="E84" s="32" t="s">
        <v>1207</v>
      </c>
      <c r="F84" s="21"/>
      <c r="G84" s="246" t="s">
        <v>1208</v>
      </c>
      <c r="H84" s="21" t="s">
        <v>187</v>
      </c>
      <c r="I84" s="9" t="s">
        <v>188</v>
      </c>
      <c r="J84" s="28" t="s">
        <v>187</v>
      </c>
      <c r="K84" s="306" t="s">
        <v>1209</v>
      </c>
      <c r="L84" s="94">
        <v>1.2152777777777778E-2</v>
      </c>
      <c r="M84" s="543"/>
      <c r="N84" s="583"/>
    </row>
    <row r="85" spans="1:14">
      <c r="A85" s="538"/>
      <c r="B85" s="564"/>
      <c r="C85" s="532"/>
      <c r="D85" s="19" t="s">
        <v>208</v>
      </c>
      <c r="E85" s="32" t="s">
        <v>1210</v>
      </c>
      <c r="F85" s="21"/>
      <c r="G85" s="246" t="s">
        <v>1211</v>
      </c>
      <c r="H85" s="21" t="s">
        <v>187</v>
      </c>
      <c r="I85" s="9" t="s">
        <v>188</v>
      </c>
      <c r="J85" s="29" t="s">
        <v>187</v>
      </c>
      <c r="K85" s="308" t="s">
        <v>1212</v>
      </c>
      <c r="L85" s="94">
        <v>1.0451388888888889E-2</v>
      </c>
      <c r="M85" s="543"/>
      <c r="N85" s="583"/>
    </row>
    <row r="86" spans="1:14">
      <c r="A86" s="538"/>
      <c r="B86" s="564"/>
      <c r="C86" s="532" t="s">
        <v>266</v>
      </c>
      <c r="D86" s="19" t="s">
        <v>213</v>
      </c>
      <c r="E86" s="32" t="s">
        <v>1213</v>
      </c>
      <c r="F86" s="21"/>
      <c r="G86" s="246" t="s">
        <v>1214</v>
      </c>
      <c r="H86" s="21" t="s">
        <v>187</v>
      </c>
      <c r="I86" s="9" t="s">
        <v>188</v>
      </c>
      <c r="J86" s="29" t="s">
        <v>187</v>
      </c>
      <c r="K86" s="308" t="s">
        <v>1215</v>
      </c>
      <c r="L86" s="94">
        <v>1.0520833333333333E-2</v>
      </c>
      <c r="M86" s="543"/>
      <c r="N86" s="583"/>
    </row>
    <row r="87" spans="1:14" ht="30.75">
      <c r="A87" s="538"/>
      <c r="B87" s="564"/>
      <c r="C87" s="532"/>
      <c r="D87" s="19" t="s">
        <v>270</v>
      </c>
      <c r="E87" s="32" t="s">
        <v>1216</v>
      </c>
      <c r="F87" s="21"/>
      <c r="G87" s="246" t="s">
        <v>1217</v>
      </c>
      <c r="H87" s="21" t="s">
        <v>187</v>
      </c>
      <c r="I87" s="9" t="s">
        <v>188</v>
      </c>
      <c r="J87" s="29" t="s">
        <v>187</v>
      </c>
      <c r="K87" s="308" t="s">
        <v>1218</v>
      </c>
      <c r="L87" s="94">
        <v>1.224537037037037E-2</v>
      </c>
      <c r="M87" s="543"/>
      <c r="N87" s="583"/>
    </row>
    <row r="88" spans="1:14">
      <c r="A88" s="538"/>
      <c r="B88" s="564"/>
      <c r="C88" s="532"/>
      <c r="D88" s="19" t="s">
        <v>274</v>
      </c>
      <c r="E88" s="32" t="s">
        <v>1219</v>
      </c>
      <c r="F88" s="21"/>
      <c r="G88" s="246" t="s">
        <v>1220</v>
      </c>
      <c r="H88" s="21" t="s">
        <v>187</v>
      </c>
      <c r="I88" s="9" t="s">
        <v>188</v>
      </c>
      <c r="J88" s="28" t="s">
        <v>187</v>
      </c>
      <c r="K88" s="308" t="s">
        <v>1221</v>
      </c>
      <c r="L88" s="94">
        <v>1.1273148148148148E-2</v>
      </c>
      <c r="M88" s="543"/>
      <c r="N88" s="583"/>
    </row>
    <row r="89" spans="1:14">
      <c r="A89" s="538"/>
      <c r="B89" s="564"/>
      <c r="C89" s="532" t="s">
        <v>278</v>
      </c>
      <c r="D89" s="19" t="s">
        <v>279</v>
      </c>
      <c r="E89" s="32" t="s">
        <v>1222</v>
      </c>
      <c r="F89" s="21"/>
      <c r="G89" s="246" t="s">
        <v>1223</v>
      </c>
      <c r="H89" s="21" t="s">
        <v>187</v>
      </c>
      <c r="I89" s="9" t="s">
        <v>188</v>
      </c>
      <c r="J89" s="28" t="s">
        <v>187</v>
      </c>
      <c r="K89" s="308" t="s">
        <v>1224</v>
      </c>
      <c r="L89" s="94">
        <v>1.1319444444444444E-2</v>
      </c>
      <c r="M89" s="543"/>
      <c r="N89" s="583"/>
    </row>
    <row r="90" spans="1:14">
      <c r="A90" s="538"/>
      <c r="B90" s="564"/>
      <c r="C90" s="532"/>
      <c r="D90" s="19" t="s">
        <v>283</v>
      </c>
      <c r="E90" s="32" t="s">
        <v>1225</v>
      </c>
      <c r="F90" s="21"/>
      <c r="G90" s="246" t="s">
        <v>1226</v>
      </c>
      <c r="H90" s="21" t="s">
        <v>187</v>
      </c>
      <c r="I90" s="9" t="s">
        <v>188</v>
      </c>
      <c r="J90" s="28" t="s">
        <v>187</v>
      </c>
      <c r="K90" s="308" t="s">
        <v>1227</v>
      </c>
      <c r="L90" s="94">
        <v>1.1712962962962963E-2</v>
      </c>
      <c r="M90" s="543"/>
      <c r="N90" s="583"/>
    </row>
    <row r="91" spans="1:14" ht="30.75">
      <c r="A91" s="538"/>
      <c r="B91" s="564"/>
      <c r="C91" s="532"/>
      <c r="D91" s="19" t="s">
        <v>287</v>
      </c>
      <c r="E91" s="32" t="s">
        <v>1228</v>
      </c>
      <c r="F91" s="21"/>
      <c r="G91" s="246" t="s">
        <v>1229</v>
      </c>
      <c r="H91" s="21" t="s">
        <v>187</v>
      </c>
      <c r="I91" s="9" t="s">
        <v>188</v>
      </c>
      <c r="J91" s="28" t="s">
        <v>187</v>
      </c>
      <c r="K91" s="308" t="s">
        <v>1230</v>
      </c>
      <c r="L91" s="94">
        <v>1.1226851851851852E-2</v>
      </c>
      <c r="M91" s="543"/>
      <c r="N91" s="583"/>
    </row>
    <row r="92" spans="1:14">
      <c r="A92" s="538"/>
      <c r="B92" s="564"/>
      <c r="C92" s="532" t="s">
        <v>291</v>
      </c>
      <c r="D92" s="19" t="s">
        <v>292</v>
      </c>
      <c r="E92" s="91" t="s">
        <v>1231</v>
      </c>
      <c r="F92" s="21"/>
      <c r="G92" s="246" t="s">
        <v>1232</v>
      </c>
      <c r="H92" s="21" t="s">
        <v>187</v>
      </c>
      <c r="I92" s="9" t="s">
        <v>188</v>
      </c>
      <c r="J92" s="28" t="s">
        <v>187</v>
      </c>
      <c r="K92" s="308" t="s">
        <v>1233</v>
      </c>
      <c r="L92" s="94">
        <v>1.224537037037037E-2</v>
      </c>
      <c r="M92" s="543"/>
      <c r="N92" s="583"/>
    </row>
    <row r="93" spans="1:14" ht="30.75">
      <c r="A93" s="538"/>
      <c r="B93" s="564"/>
      <c r="C93" s="532"/>
      <c r="D93" s="19" t="s">
        <v>297</v>
      </c>
      <c r="E93" s="32" t="s">
        <v>1234</v>
      </c>
      <c r="F93" s="21"/>
      <c r="G93" s="246" t="s">
        <v>1235</v>
      </c>
      <c r="H93" s="21" t="s">
        <v>187</v>
      </c>
      <c r="I93" s="9" t="s">
        <v>188</v>
      </c>
      <c r="J93" s="28" t="s">
        <v>187</v>
      </c>
      <c r="K93" s="308" t="s">
        <v>1236</v>
      </c>
      <c r="L93" s="94">
        <v>1.1724537037037037E-2</v>
      </c>
      <c r="M93" s="543"/>
      <c r="N93" s="583"/>
    </row>
    <row r="94" spans="1:14" ht="30.75">
      <c r="A94" s="538"/>
      <c r="B94" s="564"/>
      <c r="C94" s="534"/>
      <c r="D94" s="19" t="s">
        <v>301</v>
      </c>
      <c r="E94" s="32" t="s">
        <v>1237</v>
      </c>
      <c r="F94" s="21"/>
      <c r="G94" s="246" t="s">
        <v>1238</v>
      </c>
      <c r="H94" s="21" t="s">
        <v>187</v>
      </c>
      <c r="I94" s="9" t="s">
        <v>188</v>
      </c>
      <c r="J94" s="28"/>
      <c r="K94" s="105" t="s">
        <v>1239</v>
      </c>
      <c r="L94" s="94">
        <v>1.2488425925925925E-2</v>
      </c>
      <c r="M94" s="543"/>
      <c r="N94" s="583"/>
    </row>
    <row r="95" spans="1:14">
      <c r="A95" s="538"/>
      <c r="B95" s="564"/>
      <c r="C95" s="533" t="s">
        <v>305</v>
      </c>
      <c r="D95" s="19" t="s">
        <v>306</v>
      </c>
      <c r="E95" s="32" t="s">
        <v>1240</v>
      </c>
      <c r="F95" s="21"/>
      <c r="G95" s="246" t="s">
        <v>1241</v>
      </c>
      <c r="H95" s="21" t="s">
        <v>187</v>
      </c>
      <c r="I95" s="9" t="s">
        <v>188</v>
      </c>
      <c r="J95" s="28" t="s">
        <v>187</v>
      </c>
      <c r="K95" s="308" t="s">
        <v>1242</v>
      </c>
      <c r="L95" s="94">
        <v>1.5752314814814816E-2</v>
      </c>
      <c r="M95" s="543"/>
      <c r="N95" s="583"/>
    </row>
    <row r="96" spans="1:14">
      <c r="A96" s="538"/>
      <c r="B96" s="564"/>
      <c r="C96" s="532"/>
      <c r="D96" s="19" t="s">
        <v>425</v>
      </c>
      <c r="E96" s="32" t="s">
        <v>1243</v>
      </c>
      <c r="F96" s="21"/>
      <c r="G96" s="246" t="s">
        <v>1244</v>
      </c>
      <c r="H96" s="21" t="s">
        <v>187</v>
      </c>
      <c r="I96" s="9" t="s">
        <v>188</v>
      </c>
      <c r="J96" s="28" t="s">
        <v>187</v>
      </c>
      <c r="K96" s="308" t="s">
        <v>1245</v>
      </c>
      <c r="L96" s="94">
        <v>1.1956018518518519E-2</v>
      </c>
      <c r="M96" s="543"/>
      <c r="N96" s="583"/>
    </row>
    <row r="97" spans="1:14" ht="30.75">
      <c r="A97" s="538"/>
      <c r="B97" s="564"/>
      <c r="C97" s="534"/>
      <c r="D97" s="19" t="s">
        <v>429</v>
      </c>
      <c r="E97" s="32" t="s">
        <v>1246</v>
      </c>
      <c r="F97" s="68"/>
      <c r="G97" s="246" t="s">
        <v>1247</v>
      </c>
      <c r="H97" s="21" t="s">
        <v>187</v>
      </c>
      <c r="I97" s="9" t="s">
        <v>188</v>
      </c>
      <c r="J97" s="110" t="s">
        <v>187</v>
      </c>
      <c r="K97" s="308" t="s">
        <v>1248</v>
      </c>
      <c r="L97" s="94">
        <v>1.2152777777777778E-2</v>
      </c>
      <c r="M97" s="543"/>
      <c r="N97" s="583"/>
    </row>
    <row r="98" spans="1:14" ht="30.75">
      <c r="A98" s="538"/>
      <c r="B98" s="564"/>
      <c r="C98" s="533" t="s">
        <v>365</v>
      </c>
      <c r="D98" s="19" t="s">
        <v>433</v>
      </c>
      <c r="E98" s="32" t="s">
        <v>1249</v>
      </c>
      <c r="F98" s="68"/>
      <c r="G98" s="246" t="s">
        <v>1250</v>
      </c>
      <c r="H98" s="21" t="s">
        <v>187</v>
      </c>
      <c r="I98" s="9" t="s">
        <v>188</v>
      </c>
      <c r="J98" s="28" t="s">
        <v>187</v>
      </c>
      <c r="K98" s="308" t="s">
        <v>1251</v>
      </c>
      <c r="L98" s="94">
        <v>1.3252314814814814E-2</v>
      </c>
      <c r="M98" s="543"/>
      <c r="N98" s="583"/>
    </row>
    <row r="99" spans="1:14">
      <c r="A99" s="538"/>
      <c r="B99" s="564"/>
      <c r="C99" s="532"/>
      <c r="D99" s="19" t="s">
        <v>437</v>
      </c>
      <c r="E99" s="32" t="s">
        <v>1252</v>
      </c>
      <c r="F99" s="68"/>
      <c r="G99" s="246" t="s">
        <v>1253</v>
      </c>
      <c r="H99" s="21" t="s">
        <v>187</v>
      </c>
      <c r="I99" s="9" t="s">
        <v>188</v>
      </c>
      <c r="J99" s="28" t="s">
        <v>187</v>
      </c>
      <c r="K99" s="308" t="s">
        <v>1254</v>
      </c>
      <c r="L99" s="94">
        <v>1.0914351851851852E-2</v>
      </c>
      <c r="M99" s="543"/>
      <c r="N99" s="583"/>
    </row>
    <row r="100" spans="1:14" ht="30.75" customHeight="1">
      <c r="A100" s="566"/>
      <c r="B100" s="564"/>
      <c r="C100" s="532"/>
      <c r="D100" s="19" t="s">
        <v>639</v>
      </c>
      <c r="E100" s="32" t="s">
        <v>1255</v>
      </c>
      <c r="F100" s="68"/>
      <c r="G100" s="246" t="s">
        <v>1256</v>
      </c>
      <c r="H100" s="21" t="s">
        <v>187</v>
      </c>
      <c r="I100" s="9" t="s">
        <v>188</v>
      </c>
      <c r="J100" s="28" t="s">
        <v>187</v>
      </c>
      <c r="K100" s="308" t="s">
        <v>1257</v>
      </c>
      <c r="L100" s="94">
        <v>1.1828703703703704E-2</v>
      </c>
      <c r="M100" s="569"/>
      <c r="N100" s="583"/>
    </row>
    <row r="101" spans="1:14">
      <c r="A101" s="13"/>
      <c r="B101" s="14"/>
      <c r="C101" s="15"/>
      <c r="D101" s="15"/>
      <c r="E101" s="15"/>
      <c r="F101" s="15"/>
      <c r="G101" s="17"/>
      <c r="H101" s="15"/>
      <c r="I101" s="15"/>
      <c r="J101" s="16"/>
      <c r="K101" s="16"/>
      <c r="L101" s="16"/>
      <c r="M101" s="15"/>
      <c r="N101" s="15"/>
    </row>
    <row r="102" spans="1:14">
      <c r="A102" s="537" t="s">
        <v>74</v>
      </c>
      <c r="B102" s="563" t="str">
        <f>VLOOKUP(A102,Geral!$A$1:$D$36,2,FALSE)</f>
        <v>Gestão de Projetos</v>
      </c>
      <c r="C102" s="533" t="s">
        <v>245</v>
      </c>
      <c r="D102" s="19" t="s">
        <v>217</v>
      </c>
      <c r="E102" s="139" t="s">
        <v>185</v>
      </c>
      <c r="F102" s="115"/>
      <c r="G102" s="21" t="s">
        <v>1258</v>
      </c>
      <c r="H102" s="21" t="s">
        <v>187</v>
      </c>
      <c r="I102" s="9" t="s">
        <v>188</v>
      </c>
      <c r="J102" s="10" t="s">
        <v>187</v>
      </c>
      <c r="K102" s="105" t="s">
        <v>1259</v>
      </c>
      <c r="L102" s="81">
        <v>2.4074074074074076E-3</v>
      </c>
      <c r="M102" s="548" t="str">
        <f>VLOOKUP(A102,Geral!$A$1:$D$36,3,FALSE)</f>
        <v>Cíntia Cristina Silva de Araújo</v>
      </c>
      <c r="N102" s="583" t="str">
        <f>VLOOKUP(A102,Geral!$A$1:$D$36,4,FALSE)</f>
        <v>Nádia</v>
      </c>
    </row>
    <row r="103" spans="1:14">
      <c r="A103" s="538"/>
      <c r="B103" s="564"/>
      <c r="C103" s="532"/>
      <c r="D103" s="22" t="s">
        <v>184</v>
      </c>
      <c r="E103" s="139" t="s">
        <v>1260</v>
      </c>
      <c r="F103" s="172" t="s">
        <v>1261</v>
      </c>
      <c r="G103" s="21" t="s">
        <v>1262</v>
      </c>
      <c r="H103" s="21" t="s">
        <v>187</v>
      </c>
      <c r="I103" s="9" t="s">
        <v>188</v>
      </c>
      <c r="J103" s="10" t="s">
        <v>187</v>
      </c>
      <c r="K103" s="105" t="s">
        <v>1263</v>
      </c>
      <c r="L103" s="81">
        <v>1.6261574074074074E-2</v>
      </c>
      <c r="M103" s="543"/>
      <c r="N103" s="583"/>
    </row>
    <row r="104" spans="1:14" ht="33" customHeight="1">
      <c r="A104" s="538"/>
      <c r="B104" s="564"/>
      <c r="C104" s="532"/>
      <c r="D104" s="22" t="s">
        <v>190</v>
      </c>
      <c r="E104" s="139" t="s">
        <v>1264</v>
      </c>
      <c r="F104" s="172" t="s">
        <v>1265</v>
      </c>
      <c r="G104" s="21" t="s">
        <v>1266</v>
      </c>
      <c r="H104" s="21" t="s">
        <v>187</v>
      </c>
      <c r="I104" s="9" t="s">
        <v>188</v>
      </c>
      <c r="J104" s="10" t="s">
        <v>187</v>
      </c>
      <c r="K104" s="105" t="s">
        <v>1267</v>
      </c>
      <c r="L104" s="81">
        <v>1.5347222222222222E-2</v>
      </c>
      <c r="M104" s="543"/>
      <c r="N104" s="583"/>
    </row>
    <row r="105" spans="1:14" ht="20.25" customHeight="1">
      <c r="A105" s="538"/>
      <c r="B105" s="564"/>
      <c r="C105" s="532"/>
      <c r="D105" s="22" t="s">
        <v>195</v>
      </c>
      <c r="E105" s="139" t="s">
        <v>1268</v>
      </c>
      <c r="F105" s="311" t="s">
        <v>1269</v>
      </c>
      <c r="G105" s="21" t="s">
        <v>1270</v>
      </c>
      <c r="H105" s="21" t="s">
        <v>187</v>
      </c>
      <c r="I105" s="9" t="s">
        <v>188</v>
      </c>
      <c r="J105" s="10" t="s">
        <v>187</v>
      </c>
      <c r="K105" s="105" t="s">
        <v>1271</v>
      </c>
      <c r="L105" s="81">
        <v>1.5185185185185185E-2</v>
      </c>
      <c r="M105" s="543"/>
      <c r="N105" s="583"/>
    </row>
    <row r="106" spans="1:14" ht="20.25" customHeight="1">
      <c r="A106" s="538"/>
      <c r="B106" s="564"/>
      <c r="C106" s="271"/>
      <c r="D106" s="22" t="s">
        <v>1272</v>
      </c>
      <c r="E106" s="139" t="s">
        <v>245</v>
      </c>
      <c r="F106" s="311"/>
      <c r="G106" s="21" t="s">
        <v>1273</v>
      </c>
      <c r="H106" s="21"/>
      <c r="I106" s="9" t="s">
        <v>188</v>
      </c>
      <c r="J106" s="10"/>
      <c r="K106" s="105" t="s">
        <v>1274</v>
      </c>
      <c r="L106" s="81">
        <v>2.3495370370370371E-3</v>
      </c>
      <c r="M106" s="543"/>
      <c r="N106" s="583"/>
    </row>
    <row r="107" spans="1:14" ht="15.75">
      <c r="A107" s="538"/>
      <c r="B107" s="564"/>
      <c r="C107" s="532" t="s">
        <v>256</v>
      </c>
      <c r="D107" s="19" t="s">
        <v>199</v>
      </c>
      <c r="E107" s="139" t="s">
        <v>1275</v>
      </c>
      <c r="F107" s="307" t="s">
        <v>1276</v>
      </c>
      <c r="G107" s="21" t="s">
        <v>1277</v>
      </c>
      <c r="H107" s="21" t="s">
        <v>187</v>
      </c>
      <c r="I107" s="9" t="s">
        <v>188</v>
      </c>
      <c r="J107" s="28" t="s">
        <v>187</v>
      </c>
      <c r="K107" s="105" t="s">
        <v>1278</v>
      </c>
      <c r="L107" s="81">
        <v>1.4282407407407407E-2</v>
      </c>
      <c r="M107" s="543"/>
      <c r="N107" s="583"/>
    </row>
    <row r="108" spans="1:14" ht="15" customHeight="1">
      <c r="A108" s="538"/>
      <c r="B108" s="564"/>
      <c r="C108" s="532"/>
      <c r="D108" s="19" t="s">
        <v>204</v>
      </c>
      <c r="E108" s="322" t="s">
        <v>1279</v>
      </c>
      <c r="F108" s="312" t="s">
        <v>1280</v>
      </c>
      <c r="G108" s="21" t="s">
        <v>1281</v>
      </c>
      <c r="H108" s="21" t="s">
        <v>187</v>
      </c>
      <c r="I108" s="9" t="s">
        <v>188</v>
      </c>
      <c r="J108" s="28" t="s">
        <v>187</v>
      </c>
      <c r="K108" s="105" t="s">
        <v>1282</v>
      </c>
      <c r="L108" s="81">
        <v>1.4988425925925926E-2</v>
      </c>
      <c r="M108" s="543"/>
      <c r="N108" s="583"/>
    </row>
    <row r="109" spans="1:14" ht="15.75" customHeight="1">
      <c r="A109" s="538"/>
      <c r="B109" s="564"/>
      <c r="C109" s="532"/>
      <c r="D109" s="19" t="s">
        <v>208</v>
      </c>
      <c r="E109" s="139" t="s">
        <v>1283</v>
      </c>
      <c r="F109" s="311" t="s">
        <v>1284</v>
      </c>
      <c r="G109" s="21" t="s">
        <v>1285</v>
      </c>
      <c r="H109" s="21" t="s">
        <v>187</v>
      </c>
      <c r="I109" s="9" t="s">
        <v>188</v>
      </c>
      <c r="J109" s="29" t="s">
        <v>187</v>
      </c>
      <c r="K109" s="105" t="s">
        <v>1286</v>
      </c>
      <c r="L109" s="81">
        <v>1.5601851851851851E-2</v>
      </c>
      <c r="M109" s="543"/>
      <c r="N109" s="583"/>
    </row>
    <row r="110" spans="1:14">
      <c r="A110" s="538"/>
      <c r="B110" s="564"/>
      <c r="C110" s="532" t="s">
        <v>266</v>
      </c>
      <c r="D110" s="19" t="s">
        <v>213</v>
      </c>
      <c r="E110" s="139" t="s">
        <v>1287</v>
      </c>
      <c r="F110" s="30" t="s">
        <v>1288</v>
      </c>
      <c r="G110" s="21" t="s">
        <v>1289</v>
      </c>
      <c r="H110" s="21" t="s">
        <v>187</v>
      </c>
      <c r="I110" s="9" t="s">
        <v>188</v>
      </c>
      <c r="J110" s="29" t="s">
        <v>187</v>
      </c>
      <c r="K110" s="105" t="s">
        <v>1290</v>
      </c>
      <c r="L110" s="81">
        <v>1.5520833333333333E-2</v>
      </c>
      <c r="M110" s="543"/>
      <c r="N110" s="583"/>
    </row>
    <row r="111" spans="1:14" ht="30.75">
      <c r="A111" s="538"/>
      <c r="B111" s="564"/>
      <c r="C111" s="532"/>
      <c r="D111" s="19" t="s">
        <v>270</v>
      </c>
      <c r="E111" s="139" t="s">
        <v>1291</v>
      </c>
      <c r="F111" s="311" t="s">
        <v>1292</v>
      </c>
      <c r="G111" s="21" t="s">
        <v>1293</v>
      </c>
      <c r="H111" s="21" t="s">
        <v>187</v>
      </c>
      <c r="I111" s="9" t="s">
        <v>188</v>
      </c>
      <c r="J111" s="29" t="s">
        <v>187</v>
      </c>
      <c r="K111" s="105" t="s">
        <v>1294</v>
      </c>
      <c r="L111" s="81">
        <v>1.4212962962962964E-2</v>
      </c>
      <c r="M111" s="543"/>
      <c r="N111" s="583"/>
    </row>
    <row r="112" spans="1:14" ht="30.75">
      <c r="A112" s="538"/>
      <c r="B112" s="564"/>
      <c r="C112" s="532"/>
      <c r="D112" s="19" t="s">
        <v>274</v>
      </c>
      <c r="E112" s="139" t="s">
        <v>1295</v>
      </c>
      <c r="F112" s="311" t="s">
        <v>1296</v>
      </c>
      <c r="G112" s="21" t="s">
        <v>1297</v>
      </c>
      <c r="H112" s="21" t="s">
        <v>187</v>
      </c>
      <c r="I112" s="9" t="s">
        <v>188</v>
      </c>
      <c r="J112" s="28" t="s">
        <v>187</v>
      </c>
      <c r="K112" s="105" t="s">
        <v>1298</v>
      </c>
      <c r="L112" s="81">
        <v>1.4386574074074074E-2</v>
      </c>
      <c r="M112" s="543"/>
      <c r="N112" s="583"/>
    </row>
    <row r="113" spans="1:14" ht="15.75">
      <c r="A113" s="538"/>
      <c r="B113" s="564"/>
      <c r="C113" s="532" t="s">
        <v>278</v>
      </c>
      <c r="D113" s="19" t="s">
        <v>279</v>
      </c>
      <c r="E113" s="32" t="s">
        <v>1299</v>
      </c>
      <c r="F113" s="311" t="s">
        <v>1300</v>
      </c>
      <c r="G113" s="99" t="s">
        <v>1301</v>
      </c>
      <c r="H113" s="21" t="s">
        <v>187</v>
      </c>
      <c r="I113" s="9" t="s">
        <v>188</v>
      </c>
      <c r="J113" s="28" t="s">
        <v>187</v>
      </c>
      <c r="K113" s="105" t="s">
        <v>1302</v>
      </c>
      <c r="L113" s="81">
        <v>1.361111111111111E-2</v>
      </c>
      <c r="M113" s="543"/>
      <c r="N113" s="583"/>
    </row>
    <row r="114" spans="1:14" ht="15.75">
      <c r="A114" s="538"/>
      <c r="B114" s="564"/>
      <c r="C114" s="532"/>
      <c r="D114" s="19" t="s">
        <v>283</v>
      </c>
      <c r="E114" s="32" t="s">
        <v>1303</v>
      </c>
      <c r="F114" s="311" t="s">
        <v>1304</v>
      </c>
      <c r="G114" s="99" t="s">
        <v>1305</v>
      </c>
      <c r="H114" s="21" t="s">
        <v>187</v>
      </c>
      <c r="I114" s="9" t="s">
        <v>188</v>
      </c>
      <c r="J114" s="28" t="s">
        <v>187</v>
      </c>
      <c r="K114" s="105" t="s">
        <v>1306</v>
      </c>
      <c r="L114" s="81">
        <v>1.5428240740740741E-2</v>
      </c>
      <c r="M114" s="543"/>
      <c r="N114" s="583"/>
    </row>
    <row r="115" spans="1:14" ht="15.75">
      <c r="A115" s="538"/>
      <c r="B115" s="564"/>
      <c r="C115" s="532"/>
      <c r="D115" s="19" t="s">
        <v>287</v>
      </c>
      <c r="E115" s="32" t="s">
        <v>1307</v>
      </c>
      <c r="F115" s="311" t="s">
        <v>1308</v>
      </c>
      <c r="G115" s="99" t="s">
        <v>1309</v>
      </c>
      <c r="H115" s="21" t="s">
        <v>187</v>
      </c>
      <c r="I115" s="9" t="s">
        <v>188</v>
      </c>
      <c r="J115" s="28" t="s">
        <v>187</v>
      </c>
      <c r="K115" s="105" t="s">
        <v>1310</v>
      </c>
      <c r="L115" s="81">
        <v>1.2106481481481482E-2</v>
      </c>
      <c r="M115" s="543"/>
      <c r="N115" s="583"/>
    </row>
    <row r="116" spans="1:14" ht="15.75">
      <c r="A116" s="538"/>
      <c r="B116" s="564"/>
      <c r="C116" s="271"/>
      <c r="D116" s="19" t="s">
        <v>1311</v>
      </c>
      <c r="E116" s="140" t="s">
        <v>278</v>
      </c>
      <c r="F116" s="311"/>
      <c r="G116" s="99" t="s">
        <v>1312</v>
      </c>
      <c r="H116" s="21" t="s">
        <v>187</v>
      </c>
      <c r="I116" s="9" t="s">
        <v>188</v>
      </c>
      <c r="J116" s="28"/>
      <c r="K116" s="105" t="s">
        <v>1313</v>
      </c>
      <c r="L116" s="81">
        <v>1.8518518518518519E-3</v>
      </c>
      <c r="M116" s="543"/>
      <c r="N116" s="583"/>
    </row>
    <row r="117" spans="1:14" ht="30.75">
      <c r="A117" s="538"/>
      <c r="B117" s="564"/>
      <c r="C117" s="532" t="s">
        <v>291</v>
      </c>
      <c r="D117" s="19" t="s">
        <v>292</v>
      </c>
      <c r="E117" s="32" t="s">
        <v>1314</v>
      </c>
      <c r="F117" s="311" t="s">
        <v>1315</v>
      </c>
      <c r="G117" s="99" t="s">
        <v>1316</v>
      </c>
      <c r="H117" s="21" t="s">
        <v>187</v>
      </c>
      <c r="I117" s="9" t="s">
        <v>188</v>
      </c>
      <c r="J117" s="28" t="s">
        <v>187</v>
      </c>
      <c r="K117" s="105" t="s">
        <v>1317</v>
      </c>
      <c r="L117" s="81">
        <v>1.224537037037037E-2</v>
      </c>
      <c r="M117" s="543"/>
      <c r="N117" s="583"/>
    </row>
    <row r="118" spans="1:14" ht="30.75">
      <c r="A118" s="538"/>
      <c r="B118" s="564"/>
      <c r="C118" s="532"/>
      <c r="D118" s="19" t="s">
        <v>297</v>
      </c>
      <c r="E118" s="32" t="s">
        <v>1318</v>
      </c>
      <c r="F118" s="311" t="s">
        <v>1319</v>
      </c>
      <c r="G118" s="21" t="s">
        <v>1320</v>
      </c>
      <c r="H118" s="21" t="s">
        <v>187</v>
      </c>
      <c r="I118" s="9" t="s">
        <v>188</v>
      </c>
      <c r="J118" s="28" t="s">
        <v>187</v>
      </c>
      <c r="K118" s="105" t="s">
        <v>1321</v>
      </c>
      <c r="L118" s="81">
        <v>9.5833333333333326E-3</v>
      </c>
      <c r="M118" s="543"/>
      <c r="N118" s="583"/>
    </row>
    <row r="119" spans="1:14" ht="30.75">
      <c r="A119" s="538"/>
      <c r="B119" s="564"/>
      <c r="C119" s="534"/>
      <c r="D119" s="19" t="s">
        <v>301</v>
      </c>
      <c r="E119" s="32" t="s">
        <v>1322</v>
      </c>
      <c r="F119" s="311" t="s">
        <v>1323</v>
      </c>
      <c r="G119" s="21" t="s">
        <v>1324</v>
      </c>
      <c r="H119" s="21" t="s">
        <v>187</v>
      </c>
      <c r="I119" s="9" t="s">
        <v>188</v>
      </c>
      <c r="J119" s="28" t="s">
        <v>187</v>
      </c>
      <c r="K119" s="513" t="s">
        <v>1325</v>
      </c>
      <c r="L119" s="81">
        <v>1.6041666666666666E-2</v>
      </c>
      <c r="M119" s="543"/>
      <c r="N119" s="583"/>
    </row>
    <row r="120" spans="1:14" ht="15.75">
      <c r="A120" s="538"/>
      <c r="B120" s="564"/>
      <c r="C120" s="533" t="s">
        <v>305</v>
      </c>
      <c r="D120" s="19" t="s">
        <v>306</v>
      </c>
      <c r="E120" s="32" t="s">
        <v>1326</v>
      </c>
      <c r="F120" s="311" t="s">
        <v>1327</v>
      </c>
      <c r="G120" s="21" t="s">
        <v>1328</v>
      </c>
      <c r="H120" s="21" t="s">
        <v>187</v>
      </c>
      <c r="I120" s="9" t="s">
        <v>188</v>
      </c>
      <c r="J120" s="28" t="s">
        <v>187</v>
      </c>
      <c r="K120" s="105" t="s">
        <v>1329</v>
      </c>
      <c r="L120" s="81">
        <v>1.4479166666666666E-2</v>
      </c>
      <c r="M120" s="543"/>
      <c r="N120" s="583"/>
    </row>
    <row r="121" spans="1:14" ht="15.75">
      <c r="A121" s="538"/>
      <c r="B121" s="564"/>
      <c r="C121" s="532"/>
      <c r="D121" s="19" t="s">
        <v>425</v>
      </c>
      <c r="E121" s="32" t="s">
        <v>1330</v>
      </c>
      <c r="F121" s="311" t="s">
        <v>1331</v>
      </c>
      <c r="G121" s="21" t="s">
        <v>1332</v>
      </c>
      <c r="H121" s="21" t="s">
        <v>187</v>
      </c>
      <c r="I121" s="9" t="s">
        <v>188</v>
      </c>
      <c r="J121" s="28" t="s">
        <v>187</v>
      </c>
      <c r="K121" s="105" t="s">
        <v>1333</v>
      </c>
      <c r="L121" s="81">
        <v>1.4606481481481481E-2</v>
      </c>
      <c r="M121" s="543"/>
      <c r="N121" s="583"/>
    </row>
    <row r="122" spans="1:14">
      <c r="A122" s="538"/>
      <c r="B122" s="564"/>
      <c r="C122" s="534"/>
      <c r="D122" s="19" t="s">
        <v>429</v>
      </c>
      <c r="E122" s="32" t="s">
        <v>1334</v>
      </c>
      <c r="F122" s="136" t="s">
        <v>1335</v>
      </c>
      <c r="G122" s="21" t="s">
        <v>1336</v>
      </c>
      <c r="H122" s="21" t="s">
        <v>187</v>
      </c>
      <c r="I122" s="9" t="s">
        <v>188</v>
      </c>
      <c r="J122" s="28" t="s">
        <v>187</v>
      </c>
      <c r="K122" s="105" t="s">
        <v>1337</v>
      </c>
      <c r="L122" s="81">
        <v>1.1898148148148149E-2</v>
      </c>
      <c r="M122" s="543"/>
      <c r="N122" s="583"/>
    </row>
    <row r="123" spans="1:14">
      <c r="A123" s="538"/>
      <c r="B123" s="564"/>
      <c r="C123" s="533" t="s">
        <v>365</v>
      </c>
      <c r="D123" s="19" t="s">
        <v>433</v>
      </c>
      <c r="E123" s="32" t="s">
        <v>1338</v>
      </c>
      <c r="F123" s="136" t="s">
        <v>1339</v>
      </c>
      <c r="G123" s="21" t="s">
        <v>1340</v>
      </c>
      <c r="H123" s="21" t="s">
        <v>187</v>
      </c>
      <c r="I123" s="9" t="s">
        <v>188</v>
      </c>
      <c r="J123" s="28" t="s">
        <v>187</v>
      </c>
      <c r="K123" s="105" t="s">
        <v>1341</v>
      </c>
      <c r="L123" s="81">
        <v>1.7048611111111112E-2</v>
      </c>
      <c r="M123" s="543"/>
      <c r="N123" s="583"/>
    </row>
    <row r="124" spans="1:14">
      <c r="A124" s="538"/>
      <c r="B124" s="564"/>
      <c r="C124" s="532"/>
      <c r="D124" s="19" t="s">
        <v>437</v>
      </c>
      <c r="E124" s="32" t="s">
        <v>1342</v>
      </c>
      <c r="F124" s="136" t="s">
        <v>1343</v>
      </c>
      <c r="G124" s="21" t="s">
        <v>1344</v>
      </c>
      <c r="H124" s="21" t="s">
        <v>187</v>
      </c>
      <c r="I124" s="9" t="s">
        <v>188</v>
      </c>
      <c r="J124" s="28" t="s">
        <v>187</v>
      </c>
      <c r="K124" s="105" t="s">
        <v>1345</v>
      </c>
      <c r="L124" s="81">
        <v>1.5011574074074075E-2</v>
      </c>
      <c r="M124" s="543"/>
      <c r="N124" s="583"/>
    </row>
    <row r="125" spans="1:14">
      <c r="A125" s="566"/>
      <c r="B125" s="570"/>
      <c r="C125" s="532"/>
      <c r="D125" s="19" t="s">
        <v>639</v>
      </c>
      <c r="E125" s="32" t="s">
        <v>1346</v>
      </c>
      <c r="F125" s="136" t="s">
        <v>1347</v>
      </c>
      <c r="G125" s="21" t="s">
        <v>1348</v>
      </c>
      <c r="H125" s="21" t="s">
        <v>187</v>
      </c>
      <c r="I125" s="9" t="s">
        <v>188</v>
      </c>
      <c r="J125" s="28" t="s">
        <v>187</v>
      </c>
      <c r="K125" s="105" t="s">
        <v>1349</v>
      </c>
      <c r="L125" s="81">
        <v>1.607638888888889E-2</v>
      </c>
      <c r="M125" s="569"/>
      <c r="N125" s="583"/>
    </row>
    <row r="126" spans="1:14">
      <c r="A126" s="309"/>
      <c r="B126" s="314"/>
      <c r="C126" s="315"/>
      <c r="D126" s="316" t="s">
        <v>1350</v>
      </c>
      <c r="E126" s="140" t="s">
        <v>1351</v>
      </c>
      <c r="F126" s="152"/>
      <c r="G126" s="213" t="s">
        <v>1352</v>
      </c>
      <c r="H126" s="21" t="s">
        <v>187</v>
      </c>
      <c r="I126" s="9" t="s">
        <v>188</v>
      </c>
      <c r="J126" s="310"/>
      <c r="K126" s="339" t="s">
        <v>1353</v>
      </c>
      <c r="L126" s="81">
        <v>1.724537037037037E-3</v>
      </c>
      <c r="M126" s="39"/>
    </row>
    <row r="127" spans="1:14">
      <c r="A127" s="13"/>
      <c r="B127" s="14"/>
      <c r="C127" s="15"/>
      <c r="D127" s="15"/>
      <c r="E127" s="13"/>
      <c r="F127" s="15"/>
      <c r="G127" s="17"/>
      <c r="H127" s="58"/>
      <c r="I127" s="15"/>
      <c r="J127" s="16"/>
      <c r="K127" s="16"/>
      <c r="L127" s="16"/>
      <c r="M127" s="15"/>
      <c r="N127" s="15"/>
    </row>
    <row r="128" spans="1:14" ht="30.75">
      <c r="A128" s="537" t="s">
        <v>77</v>
      </c>
      <c r="B128" s="563" t="str">
        <f>VLOOKUP(A128,Geral!$A$1:$D$36,2,FALSE)</f>
        <v>Pesquisa Operacional I</v>
      </c>
      <c r="C128" s="532" t="s">
        <v>245</v>
      </c>
      <c r="D128" s="22" t="s">
        <v>184</v>
      </c>
      <c r="E128" s="139" t="s">
        <v>1354</v>
      </c>
      <c r="F128" s="66"/>
      <c r="G128" s="21" t="s">
        <v>1355</v>
      </c>
      <c r="H128" s="21" t="s">
        <v>187</v>
      </c>
      <c r="I128" s="9" t="s">
        <v>188</v>
      </c>
      <c r="J128" s="220" t="s">
        <v>187</v>
      </c>
      <c r="K128" s="318" t="s">
        <v>1356</v>
      </c>
      <c r="L128" s="220">
        <v>1.1585648148148149E-2</v>
      </c>
      <c r="M128" s="543"/>
      <c r="N128" s="583"/>
    </row>
    <row r="129" spans="1:14">
      <c r="A129" s="538"/>
      <c r="B129" s="564"/>
      <c r="C129" s="532"/>
      <c r="D129" s="22" t="s">
        <v>190</v>
      </c>
      <c r="E129" s="139" t="s">
        <v>1357</v>
      </c>
      <c r="F129" s="66"/>
      <c r="G129" s="21" t="s">
        <v>1358</v>
      </c>
      <c r="H129" s="21" t="s">
        <v>187</v>
      </c>
      <c r="I129" s="9" t="s">
        <v>188</v>
      </c>
      <c r="J129" s="221" t="s">
        <v>187</v>
      </c>
      <c r="K129" s="319" t="s">
        <v>1359</v>
      </c>
      <c r="L129" s="221">
        <v>1.4999999999999999E-2</v>
      </c>
      <c r="M129" s="543"/>
      <c r="N129" s="583"/>
    </row>
    <row r="130" spans="1:14">
      <c r="A130" s="538"/>
      <c r="B130" s="564"/>
      <c r="C130" s="532"/>
      <c r="D130" s="22" t="s">
        <v>195</v>
      </c>
      <c r="E130" s="139" t="s">
        <v>1360</v>
      </c>
      <c r="F130" s="66"/>
      <c r="G130" s="21" t="s">
        <v>1361</v>
      </c>
      <c r="H130" s="21" t="s">
        <v>187</v>
      </c>
      <c r="I130" s="9" t="s">
        <v>188</v>
      </c>
      <c r="J130" s="221" t="s">
        <v>187</v>
      </c>
      <c r="K130" s="320" t="s">
        <v>1362</v>
      </c>
      <c r="L130" s="221">
        <v>1.4560185185185185E-2</v>
      </c>
      <c r="M130" s="543"/>
      <c r="N130" s="583"/>
    </row>
    <row r="131" spans="1:14" ht="30.75">
      <c r="A131" s="538"/>
      <c r="B131" s="564"/>
      <c r="C131" s="532" t="s">
        <v>256</v>
      </c>
      <c r="D131" s="19" t="s">
        <v>199</v>
      </c>
      <c r="E131" s="139" t="s">
        <v>1363</v>
      </c>
      <c r="F131" s="76"/>
      <c r="G131" s="21" t="s">
        <v>1364</v>
      </c>
      <c r="H131" s="21" t="s">
        <v>187</v>
      </c>
      <c r="I131" s="9" t="s">
        <v>188</v>
      </c>
      <c r="J131" s="218" t="s">
        <v>187</v>
      </c>
      <c r="K131" s="321" t="s">
        <v>1365</v>
      </c>
      <c r="L131" s="218">
        <v>1.4328703703703703E-2</v>
      </c>
      <c r="M131" s="543"/>
      <c r="N131" s="583"/>
    </row>
    <row r="132" spans="1:14" ht="30.75">
      <c r="A132" s="538"/>
      <c r="B132" s="564"/>
      <c r="C132" s="532"/>
      <c r="D132" s="19" t="s">
        <v>204</v>
      </c>
      <c r="E132" s="139" t="s">
        <v>1366</v>
      </c>
      <c r="F132" s="76"/>
      <c r="G132" s="21" t="s">
        <v>1367</v>
      </c>
      <c r="H132" s="21" t="s">
        <v>187</v>
      </c>
      <c r="I132" s="9" t="s">
        <v>188</v>
      </c>
      <c r="J132" s="222" t="s">
        <v>187</v>
      </c>
      <c r="K132" s="319" t="s">
        <v>1368</v>
      </c>
      <c r="L132" s="222">
        <v>1.5127314814814816E-2</v>
      </c>
      <c r="M132" s="543"/>
      <c r="N132" s="583"/>
    </row>
    <row r="133" spans="1:14" ht="30.75">
      <c r="A133" s="538"/>
      <c r="B133" s="564"/>
      <c r="C133" s="532"/>
      <c r="D133" s="19" t="s">
        <v>208</v>
      </c>
      <c r="E133" s="139" t="s">
        <v>1369</v>
      </c>
      <c r="F133" s="76"/>
      <c r="G133" s="21" t="s">
        <v>1370</v>
      </c>
      <c r="H133" s="21" t="s">
        <v>187</v>
      </c>
      <c r="I133" s="9" t="s">
        <v>188</v>
      </c>
      <c r="J133" s="218" t="s">
        <v>187</v>
      </c>
      <c r="K133" s="319" t="s">
        <v>1371</v>
      </c>
      <c r="L133" s="218">
        <v>1.5023148148148148E-2</v>
      </c>
      <c r="M133" s="543"/>
      <c r="N133" s="583"/>
    </row>
    <row r="134" spans="1:14" ht="30.75">
      <c r="A134" s="538"/>
      <c r="B134" s="564"/>
      <c r="C134" s="532" t="s">
        <v>266</v>
      </c>
      <c r="D134" s="19" t="s">
        <v>213</v>
      </c>
      <c r="E134" s="139" t="s">
        <v>1372</v>
      </c>
      <c r="F134" s="67"/>
      <c r="G134" s="21" t="s">
        <v>1373</v>
      </c>
      <c r="H134" s="21" t="s">
        <v>187</v>
      </c>
      <c r="I134" s="9" t="s">
        <v>188</v>
      </c>
      <c r="J134" s="218" t="s">
        <v>187</v>
      </c>
      <c r="K134" s="340" t="s">
        <v>1374</v>
      </c>
      <c r="L134" s="218">
        <v>1.4479166666666666E-2</v>
      </c>
      <c r="M134" s="543"/>
      <c r="N134" s="583"/>
    </row>
    <row r="135" spans="1:14">
      <c r="A135" s="538"/>
      <c r="B135" s="564"/>
      <c r="C135" s="532"/>
      <c r="D135" s="19" t="s">
        <v>270</v>
      </c>
      <c r="E135" s="139" t="s">
        <v>1375</v>
      </c>
      <c r="F135" s="67"/>
      <c r="G135" s="21" t="s">
        <v>1376</v>
      </c>
      <c r="H135" s="21" t="s">
        <v>187</v>
      </c>
      <c r="I135" s="9" t="s">
        <v>188</v>
      </c>
      <c r="J135" s="218" t="s">
        <v>187</v>
      </c>
      <c r="K135" s="319" t="s">
        <v>1377</v>
      </c>
      <c r="L135" s="218">
        <v>1.3553240740740741E-2</v>
      </c>
      <c r="M135" s="543"/>
      <c r="N135" s="583"/>
    </row>
    <row r="136" spans="1:14">
      <c r="A136" s="538"/>
      <c r="B136" s="564"/>
      <c r="C136" s="532"/>
      <c r="D136" s="19" t="s">
        <v>274</v>
      </c>
      <c r="E136" s="139" t="s">
        <v>1378</v>
      </c>
      <c r="F136" s="76"/>
      <c r="G136" s="21" t="s">
        <v>1379</v>
      </c>
      <c r="H136" s="21" t="s">
        <v>187</v>
      </c>
      <c r="I136" s="9" t="s">
        <v>188</v>
      </c>
      <c r="J136" s="218" t="s">
        <v>187</v>
      </c>
      <c r="K136" s="319" t="s">
        <v>1380</v>
      </c>
      <c r="L136" s="218">
        <v>1.511574074074074E-2</v>
      </c>
      <c r="M136" s="543"/>
      <c r="N136" s="583"/>
    </row>
    <row r="137" spans="1:14" ht="30.75">
      <c r="A137" s="538"/>
      <c r="B137" s="564"/>
      <c r="C137" s="532" t="s">
        <v>278</v>
      </c>
      <c r="D137" s="19" t="s">
        <v>279</v>
      </c>
      <c r="E137" s="139" t="s">
        <v>1381</v>
      </c>
      <c r="F137" s="76"/>
      <c r="G137" s="21" t="s">
        <v>1382</v>
      </c>
      <c r="H137" s="21" t="s">
        <v>187</v>
      </c>
      <c r="I137" s="9" t="s">
        <v>188</v>
      </c>
      <c r="J137" s="218" t="s">
        <v>187</v>
      </c>
      <c r="K137" s="319" t="s">
        <v>1383</v>
      </c>
      <c r="L137" s="218">
        <v>1.480324074074074E-2</v>
      </c>
      <c r="M137" s="543"/>
      <c r="N137" s="583"/>
    </row>
    <row r="138" spans="1:14" ht="30.75">
      <c r="A138" s="538"/>
      <c r="B138" s="564"/>
      <c r="C138" s="532"/>
      <c r="D138" s="19" t="s">
        <v>283</v>
      </c>
      <c r="E138" s="139" t="s">
        <v>1384</v>
      </c>
      <c r="F138" s="76"/>
      <c r="G138" s="21" t="s">
        <v>1385</v>
      </c>
      <c r="H138" s="21" t="s">
        <v>187</v>
      </c>
      <c r="I138" s="9" t="s">
        <v>188</v>
      </c>
      <c r="J138" s="218" t="s">
        <v>187</v>
      </c>
      <c r="K138" s="319" t="s">
        <v>1386</v>
      </c>
      <c r="L138" s="218">
        <v>1.4594907407407407E-2</v>
      </c>
      <c r="M138" s="543"/>
      <c r="N138" s="583"/>
    </row>
    <row r="139" spans="1:14">
      <c r="A139" s="538"/>
      <c r="B139" s="564"/>
      <c r="C139" s="532"/>
      <c r="D139" s="19" t="s">
        <v>287</v>
      </c>
      <c r="E139" s="139" t="s">
        <v>1387</v>
      </c>
      <c r="F139" s="67"/>
      <c r="G139" s="21" t="s">
        <v>1388</v>
      </c>
      <c r="H139" s="21" t="s">
        <v>187</v>
      </c>
      <c r="I139" s="9" t="s">
        <v>188</v>
      </c>
      <c r="J139" s="218" t="s">
        <v>187</v>
      </c>
      <c r="K139" s="319" t="s">
        <v>1389</v>
      </c>
      <c r="L139" s="218">
        <v>1.425925925925926E-2</v>
      </c>
      <c r="M139" s="543"/>
      <c r="N139" s="583"/>
    </row>
    <row r="140" spans="1:14">
      <c r="A140" s="538"/>
      <c r="B140" s="564"/>
      <c r="C140" s="532" t="s">
        <v>291</v>
      </c>
      <c r="D140" s="19" t="s">
        <v>292</v>
      </c>
      <c r="E140" s="139" t="s">
        <v>1390</v>
      </c>
      <c r="F140" s="67"/>
      <c r="G140" s="21" t="s">
        <v>1391</v>
      </c>
      <c r="H140" s="21" t="s">
        <v>187</v>
      </c>
      <c r="I140" s="9" t="s">
        <v>188</v>
      </c>
      <c r="J140" s="218" t="s">
        <v>187</v>
      </c>
      <c r="K140" s="319" t="s">
        <v>1392</v>
      </c>
      <c r="L140" s="218">
        <v>1.4837962962962963E-2</v>
      </c>
      <c r="M140" s="543"/>
      <c r="N140" s="583"/>
    </row>
    <row r="141" spans="1:14" ht="30.75">
      <c r="A141" s="538"/>
      <c r="B141" s="564"/>
      <c r="C141" s="532"/>
      <c r="D141" s="19" t="s">
        <v>297</v>
      </c>
      <c r="E141" s="139" t="s">
        <v>1393</v>
      </c>
      <c r="F141" s="76"/>
      <c r="G141" s="21" t="s">
        <v>1394</v>
      </c>
      <c r="H141" s="21" t="s">
        <v>187</v>
      </c>
      <c r="I141" s="9" t="s">
        <v>188</v>
      </c>
      <c r="J141" s="218" t="s">
        <v>187</v>
      </c>
      <c r="K141" s="319" t="s">
        <v>1395</v>
      </c>
      <c r="L141" s="218">
        <v>1.4444444444444444E-2</v>
      </c>
      <c r="M141" s="543"/>
      <c r="N141" s="583"/>
    </row>
    <row r="142" spans="1:14">
      <c r="A142" s="538"/>
      <c r="B142" s="564"/>
      <c r="C142" s="534"/>
      <c r="D142" s="19" t="s">
        <v>301</v>
      </c>
      <c r="E142" s="32" t="s">
        <v>1396</v>
      </c>
      <c r="F142" s="77"/>
      <c r="G142" s="21" t="s">
        <v>1397</v>
      </c>
      <c r="H142" s="21" t="s">
        <v>187</v>
      </c>
      <c r="I142" s="9" t="s">
        <v>188</v>
      </c>
      <c r="J142" s="218" t="s">
        <v>187</v>
      </c>
      <c r="K142" s="319" t="s">
        <v>1398</v>
      </c>
      <c r="L142" s="218">
        <v>1.2326388888888888E-2</v>
      </c>
      <c r="M142" s="543"/>
      <c r="N142" s="583"/>
    </row>
    <row r="143" spans="1:14">
      <c r="A143" s="538"/>
      <c r="B143" s="564"/>
      <c r="C143" s="533" t="s">
        <v>305</v>
      </c>
      <c r="D143" s="19" t="s">
        <v>306</v>
      </c>
      <c r="E143" s="32" t="s">
        <v>1399</v>
      </c>
      <c r="F143" s="77"/>
      <c r="G143" s="21" t="s">
        <v>1400</v>
      </c>
      <c r="H143" s="21" t="s">
        <v>187</v>
      </c>
      <c r="I143" s="219" t="s">
        <v>188</v>
      </c>
      <c r="J143" s="255" t="s">
        <v>187</v>
      </c>
      <c r="K143" s="319" t="s">
        <v>1401</v>
      </c>
      <c r="L143" s="218">
        <v>1.292824074074074E-2</v>
      </c>
      <c r="M143" s="543"/>
      <c r="N143" s="583"/>
    </row>
    <row r="144" spans="1:14">
      <c r="A144" s="538"/>
      <c r="B144" s="564"/>
      <c r="C144" s="532"/>
      <c r="D144" s="19" t="s">
        <v>425</v>
      </c>
      <c r="E144" s="32" t="s">
        <v>1402</v>
      </c>
      <c r="F144" s="77"/>
      <c r="G144" s="21" t="s">
        <v>1403</v>
      </c>
      <c r="H144" s="21" t="s">
        <v>187</v>
      </c>
      <c r="I144" s="9" t="s">
        <v>188</v>
      </c>
      <c r="J144" s="218" t="s">
        <v>187</v>
      </c>
      <c r="K144" s="319" t="s">
        <v>1404</v>
      </c>
      <c r="L144" s="218">
        <v>1.3958333333333333E-2</v>
      </c>
      <c r="M144" s="543"/>
      <c r="N144" s="583"/>
    </row>
    <row r="145" spans="1:14" ht="30.75">
      <c r="A145" s="538"/>
      <c r="B145" s="564"/>
      <c r="C145" s="534"/>
      <c r="D145" s="19" t="s">
        <v>429</v>
      </c>
      <c r="E145" s="32" t="s">
        <v>1405</v>
      </c>
      <c r="F145" s="68"/>
      <c r="G145" s="21" t="s">
        <v>1406</v>
      </c>
      <c r="H145" s="21" t="s">
        <v>187</v>
      </c>
      <c r="I145" s="9" t="s">
        <v>188</v>
      </c>
      <c r="J145" s="218" t="s">
        <v>187</v>
      </c>
      <c r="K145" s="319" t="s">
        <v>1407</v>
      </c>
      <c r="L145" s="218">
        <v>1.3356481481481481E-2</v>
      </c>
      <c r="M145" s="543"/>
      <c r="N145" s="583"/>
    </row>
    <row r="146" spans="1:14">
      <c r="A146" s="13"/>
      <c r="B146" s="14"/>
      <c r="C146" s="15"/>
      <c r="D146" s="15"/>
      <c r="E146" s="13"/>
      <c r="F146" s="15"/>
      <c r="G146" s="17"/>
      <c r="H146" s="15"/>
      <c r="I146" s="15"/>
      <c r="J146" s="15"/>
      <c r="K146" s="16"/>
      <c r="L146" s="16"/>
      <c r="M146" s="15"/>
      <c r="N146" s="15"/>
    </row>
    <row r="147" spans="1:14">
      <c r="A147" s="537" t="s">
        <v>80</v>
      </c>
      <c r="B147" s="563" t="str">
        <f>VLOOKUP(A147,Geral!$A$1:$D$36,2,FALSE)</f>
        <v>Teoria da Literatura</v>
      </c>
      <c r="C147" s="533" t="s">
        <v>245</v>
      </c>
      <c r="D147" s="22" t="s">
        <v>184</v>
      </c>
      <c r="E147" s="32" t="s">
        <v>1408</v>
      </c>
      <c r="F147" s="21"/>
      <c r="G147" s="246" t="s">
        <v>1409</v>
      </c>
      <c r="H147" s="21" t="s">
        <v>187</v>
      </c>
      <c r="I147" s="9" t="s">
        <v>188</v>
      </c>
      <c r="J147" s="10" t="s">
        <v>187</v>
      </c>
      <c r="K147" s="125" t="s">
        <v>1410</v>
      </c>
      <c r="L147" s="218">
        <v>1.0520833333333333E-2</v>
      </c>
      <c r="M147" s="548" t="str">
        <f>VLOOKUP(A147,Geral!$A$1:$D$36,3,FALSE)</f>
        <v>Carlos Augusto Bonifácio Leite</v>
      </c>
      <c r="N147" s="584" t="s">
        <v>1411</v>
      </c>
    </row>
    <row r="148" spans="1:14">
      <c r="A148" s="538"/>
      <c r="B148" s="564"/>
      <c r="C148" s="532"/>
      <c r="D148" s="22" t="s">
        <v>190</v>
      </c>
      <c r="E148" s="32" t="s">
        <v>1412</v>
      </c>
      <c r="F148" s="21"/>
      <c r="G148" s="246" t="s">
        <v>1413</v>
      </c>
      <c r="H148" s="21" t="s">
        <v>187</v>
      </c>
      <c r="I148" s="9" t="s">
        <v>188</v>
      </c>
      <c r="J148" s="10" t="s">
        <v>187</v>
      </c>
      <c r="K148" s="125" t="s">
        <v>1414</v>
      </c>
      <c r="L148" s="218">
        <v>9.7106481481481488E-3</v>
      </c>
      <c r="M148" s="543"/>
      <c r="N148" s="584"/>
    </row>
    <row r="149" spans="1:14">
      <c r="A149" s="538"/>
      <c r="B149" s="564"/>
      <c r="C149" s="532"/>
      <c r="D149" s="22" t="s">
        <v>195</v>
      </c>
      <c r="E149" s="32" t="s">
        <v>1415</v>
      </c>
      <c r="F149" s="21"/>
      <c r="G149" s="246" t="s">
        <v>1416</v>
      </c>
      <c r="H149" s="21" t="s">
        <v>187</v>
      </c>
      <c r="I149" s="9" t="s">
        <v>188</v>
      </c>
      <c r="J149" s="10" t="s">
        <v>187</v>
      </c>
      <c r="K149" s="125" t="s">
        <v>1417</v>
      </c>
      <c r="L149" s="218">
        <v>1.1076388888888889E-2</v>
      </c>
      <c r="M149" s="543"/>
      <c r="N149" s="584"/>
    </row>
    <row r="150" spans="1:14">
      <c r="A150" s="538"/>
      <c r="B150" s="564"/>
      <c r="C150" s="532" t="s">
        <v>256</v>
      </c>
      <c r="D150" s="19" t="s">
        <v>199</v>
      </c>
      <c r="E150" s="32" t="s">
        <v>1418</v>
      </c>
      <c r="F150" s="21"/>
      <c r="G150" s="246" t="s">
        <v>1419</v>
      </c>
      <c r="H150" s="21" t="s">
        <v>187</v>
      </c>
      <c r="I150" s="9" t="s">
        <v>188</v>
      </c>
      <c r="J150" s="28" t="s">
        <v>187</v>
      </c>
      <c r="K150" s="125" t="s">
        <v>1420</v>
      </c>
      <c r="L150" s="218">
        <v>1.2453703703703703E-2</v>
      </c>
      <c r="M150" s="543"/>
      <c r="N150" s="584"/>
    </row>
    <row r="151" spans="1:14">
      <c r="A151" s="538"/>
      <c r="B151" s="564"/>
      <c r="C151" s="532"/>
      <c r="D151" s="19" t="s">
        <v>204</v>
      </c>
      <c r="E151" s="32" t="s">
        <v>1421</v>
      </c>
      <c r="F151" s="21"/>
      <c r="G151" s="246" t="s">
        <v>1422</v>
      </c>
      <c r="H151" s="21" t="s">
        <v>187</v>
      </c>
      <c r="I151" s="9" t="s">
        <v>188</v>
      </c>
      <c r="J151" s="28" t="s">
        <v>187</v>
      </c>
      <c r="K151" s="125" t="s">
        <v>1423</v>
      </c>
      <c r="L151" s="218">
        <v>1.0844907407407407E-2</v>
      </c>
      <c r="M151" s="543"/>
      <c r="N151" s="584"/>
    </row>
    <row r="152" spans="1:14">
      <c r="A152" s="538"/>
      <c r="B152" s="564"/>
      <c r="C152" s="532"/>
      <c r="D152" s="19" t="s">
        <v>208</v>
      </c>
      <c r="E152" s="32" t="s">
        <v>1424</v>
      </c>
      <c r="F152" s="21"/>
      <c r="G152" s="246" t="s">
        <v>1425</v>
      </c>
      <c r="H152" s="21" t="s">
        <v>187</v>
      </c>
      <c r="I152" s="9" t="s">
        <v>188</v>
      </c>
      <c r="J152" s="29" t="s">
        <v>187</v>
      </c>
      <c r="K152" s="105" t="s">
        <v>1426</v>
      </c>
      <c r="L152" s="218">
        <v>8.8888888888888889E-3</v>
      </c>
      <c r="M152" s="543"/>
      <c r="N152" s="584"/>
    </row>
    <row r="153" spans="1:14">
      <c r="A153" s="538"/>
      <c r="B153" s="564"/>
      <c r="C153" s="532" t="s">
        <v>266</v>
      </c>
      <c r="D153" s="19" t="s">
        <v>213</v>
      </c>
      <c r="E153" s="32" t="s">
        <v>1427</v>
      </c>
      <c r="F153" s="21"/>
      <c r="G153" s="246" t="s">
        <v>1428</v>
      </c>
      <c r="H153" s="21" t="s">
        <v>187</v>
      </c>
      <c r="I153" s="9" t="s">
        <v>188</v>
      </c>
      <c r="J153" s="29" t="s">
        <v>187</v>
      </c>
      <c r="K153" s="125" t="s">
        <v>1429</v>
      </c>
      <c r="L153" s="218">
        <v>1.0729166666666666E-2</v>
      </c>
      <c r="M153" s="543"/>
      <c r="N153" s="584"/>
    </row>
    <row r="154" spans="1:14">
      <c r="A154" s="538"/>
      <c r="B154" s="564"/>
      <c r="C154" s="532"/>
      <c r="D154" s="19" t="s">
        <v>270</v>
      </c>
      <c r="E154" s="32" t="s">
        <v>1430</v>
      </c>
      <c r="F154" s="21"/>
      <c r="G154" s="246" t="s">
        <v>1431</v>
      </c>
      <c r="H154" s="21" t="s">
        <v>187</v>
      </c>
      <c r="I154" s="9" t="s">
        <v>188</v>
      </c>
      <c r="J154" s="29" t="s">
        <v>187</v>
      </c>
      <c r="K154" s="125" t="s">
        <v>1432</v>
      </c>
      <c r="L154" s="218">
        <v>1.2141203703703704E-2</v>
      </c>
      <c r="M154" s="543"/>
      <c r="N154" s="584"/>
    </row>
    <row r="155" spans="1:14">
      <c r="A155" s="538"/>
      <c r="B155" s="564"/>
      <c r="C155" s="532"/>
      <c r="D155" s="19" t="s">
        <v>274</v>
      </c>
      <c r="E155" s="32" t="s">
        <v>1433</v>
      </c>
      <c r="G155" s="246" t="s">
        <v>1434</v>
      </c>
      <c r="H155" s="21" t="s">
        <v>187</v>
      </c>
      <c r="I155" s="9" t="s">
        <v>188</v>
      </c>
      <c r="J155" s="48" t="s">
        <v>187</v>
      </c>
      <c r="K155" s="125" t="s">
        <v>1435</v>
      </c>
      <c r="L155" s="218">
        <v>9.9652777777777778E-3</v>
      </c>
      <c r="M155" s="547"/>
      <c r="N155" s="584"/>
    </row>
    <row r="156" spans="1:14">
      <c r="A156" s="538"/>
      <c r="B156" s="564"/>
      <c r="C156" s="532" t="s">
        <v>278</v>
      </c>
      <c r="D156" s="19" t="s">
        <v>279</v>
      </c>
      <c r="E156" s="32" t="s">
        <v>1436</v>
      </c>
      <c r="F156" s="125"/>
      <c r="G156" s="246" t="s">
        <v>1437</v>
      </c>
      <c r="H156" s="21" t="s">
        <v>187</v>
      </c>
      <c r="I156" s="9" t="s">
        <v>188</v>
      </c>
      <c r="J156" s="48" t="s">
        <v>187</v>
      </c>
      <c r="K156" s="125" t="s">
        <v>1438</v>
      </c>
      <c r="L156" s="218">
        <v>1.0254629629629629E-2</v>
      </c>
      <c r="M156" s="547"/>
      <c r="N156" s="584"/>
    </row>
    <row r="157" spans="1:14">
      <c r="A157" s="538"/>
      <c r="B157" s="564"/>
      <c r="C157" s="532"/>
      <c r="D157" s="19" t="s">
        <v>283</v>
      </c>
      <c r="E157" s="32" t="s">
        <v>1439</v>
      </c>
      <c r="F157" s="125"/>
      <c r="G157" s="246" t="s">
        <v>1440</v>
      </c>
      <c r="H157" s="21" t="s">
        <v>187</v>
      </c>
      <c r="I157" s="9" t="s">
        <v>188</v>
      </c>
      <c r="J157" s="48" t="s">
        <v>187</v>
      </c>
      <c r="K157" s="125" t="s">
        <v>1441</v>
      </c>
      <c r="L157" s="218">
        <v>1.0127314814814815E-2</v>
      </c>
      <c r="M157" s="547"/>
      <c r="N157" s="584"/>
    </row>
    <row r="158" spans="1:14">
      <c r="A158" s="538"/>
      <c r="B158" s="564"/>
      <c r="C158" s="532"/>
      <c r="D158" s="19" t="s">
        <v>287</v>
      </c>
      <c r="E158" s="32" t="s">
        <v>1442</v>
      </c>
      <c r="F158" s="125"/>
      <c r="G158" s="246" t="s">
        <v>1443</v>
      </c>
      <c r="H158" s="21" t="s">
        <v>187</v>
      </c>
      <c r="I158" s="9" t="s">
        <v>188</v>
      </c>
      <c r="J158" s="48" t="s">
        <v>187</v>
      </c>
      <c r="K158" s="125" t="s">
        <v>1444</v>
      </c>
      <c r="L158" s="218">
        <v>1.6099537037037037E-2</v>
      </c>
      <c r="M158" s="547"/>
      <c r="N158" s="584"/>
    </row>
    <row r="159" spans="1:14">
      <c r="A159" s="538"/>
      <c r="B159" s="564"/>
      <c r="C159" s="532" t="s">
        <v>291</v>
      </c>
      <c r="D159" s="19" t="s">
        <v>292</v>
      </c>
      <c r="E159" s="32" t="s">
        <v>1445</v>
      </c>
      <c r="F159" s="67"/>
      <c r="G159" s="246" t="s">
        <v>1446</v>
      </c>
      <c r="H159" s="21" t="s">
        <v>187</v>
      </c>
      <c r="I159" s="9" t="s">
        <v>188</v>
      </c>
      <c r="J159" s="28" t="s">
        <v>187</v>
      </c>
      <c r="K159" s="125" t="s">
        <v>1447</v>
      </c>
      <c r="L159" s="218">
        <v>9.8379629629629633E-3</v>
      </c>
      <c r="M159" s="543"/>
      <c r="N159" s="584"/>
    </row>
    <row r="160" spans="1:14">
      <c r="A160" s="538"/>
      <c r="B160" s="564"/>
      <c r="C160" s="532"/>
      <c r="D160" s="19" t="s">
        <v>297</v>
      </c>
      <c r="E160" s="32" t="s">
        <v>1448</v>
      </c>
      <c r="F160" s="76"/>
      <c r="G160" s="246" t="s">
        <v>1449</v>
      </c>
      <c r="H160" s="21" t="s">
        <v>187</v>
      </c>
      <c r="I160" s="9" t="s">
        <v>188</v>
      </c>
      <c r="J160" s="28" t="s">
        <v>187</v>
      </c>
      <c r="K160" s="105" t="s">
        <v>1450</v>
      </c>
      <c r="L160" s="218">
        <v>1.1446759259259259E-2</v>
      </c>
      <c r="M160" s="543"/>
      <c r="N160" s="584"/>
    </row>
    <row r="161" spans="1:14">
      <c r="A161" s="538"/>
      <c r="B161" s="564"/>
      <c r="C161" s="534"/>
      <c r="D161" s="19" t="s">
        <v>301</v>
      </c>
      <c r="E161" s="32" t="s">
        <v>1451</v>
      </c>
      <c r="F161" s="77"/>
      <c r="G161" s="246" t="s">
        <v>1452</v>
      </c>
      <c r="H161" s="21" t="s">
        <v>187</v>
      </c>
      <c r="I161" s="9" t="s">
        <v>188</v>
      </c>
      <c r="J161" s="28" t="s">
        <v>187</v>
      </c>
      <c r="K161" s="105" t="s">
        <v>1453</v>
      </c>
      <c r="L161" s="218">
        <v>1.7071759259259259E-2</v>
      </c>
      <c r="M161" s="543"/>
      <c r="N161" s="584"/>
    </row>
    <row r="162" spans="1:14" ht="23.25" customHeight="1">
      <c r="A162" s="538"/>
      <c r="B162" s="564"/>
      <c r="C162" s="533" t="s">
        <v>305</v>
      </c>
      <c r="D162" s="19" t="s">
        <v>306</v>
      </c>
      <c r="E162" s="32" t="s">
        <v>1454</v>
      </c>
      <c r="F162" s="77"/>
      <c r="G162" s="246" t="s">
        <v>1455</v>
      </c>
      <c r="H162" s="21" t="s">
        <v>187</v>
      </c>
      <c r="I162" s="9" t="s">
        <v>188</v>
      </c>
      <c r="J162" s="28" t="s">
        <v>187</v>
      </c>
      <c r="K162" s="105" t="s">
        <v>1456</v>
      </c>
      <c r="L162" s="218">
        <v>1.037037037037037E-2</v>
      </c>
      <c r="M162" s="543"/>
      <c r="N162" s="584"/>
    </row>
    <row r="163" spans="1:14">
      <c r="A163" s="538"/>
      <c r="B163" s="564"/>
      <c r="C163" s="532"/>
      <c r="D163" s="19" t="s">
        <v>425</v>
      </c>
      <c r="E163" s="32" t="s">
        <v>1457</v>
      </c>
      <c r="F163" s="21"/>
      <c r="G163" s="246" t="s">
        <v>1458</v>
      </c>
      <c r="H163" s="21" t="s">
        <v>187</v>
      </c>
      <c r="I163" s="9" t="s">
        <v>188</v>
      </c>
      <c r="J163" s="28" t="s">
        <v>187</v>
      </c>
      <c r="K163" s="105" t="s">
        <v>1459</v>
      </c>
      <c r="L163" s="218">
        <v>1.1574074074074073E-2</v>
      </c>
      <c r="M163" s="543"/>
      <c r="N163" s="584"/>
    </row>
    <row r="164" spans="1:14" ht="30.75">
      <c r="A164" s="538"/>
      <c r="B164" s="564"/>
      <c r="C164" s="534"/>
      <c r="D164" s="19" t="s">
        <v>429</v>
      </c>
      <c r="E164" s="32" t="s">
        <v>1460</v>
      </c>
      <c r="F164" s="21"/>
      <c r="G164" s="246" t="s">
        <v>1461</v>
      </c>
      <c r="H164" s="21" t="s">
        <v>187</v>
      </c>
      <c r="I164" s="9" t="s">
        <v>188</v>
      </c>
      <c r="J164" s="110" t="s">
        <v>187</v>
      </c>
      <c r="K164" s="105" t="s">
        <v>1462</v>
      </c>
      <c r="L164" s="218">
        <v>1.8206018518518517E-2</v>
      </c>
      <c r="M164" s="543"/>
      <c r="N164" s="584"/>
    </row>
    <row r="165" spans="1:14">
      <c r="A165" s="538"/>
      <c r="B165" s="564"/>
      <c r="C165" s="533" t="s">
        <v>365</v>
      </c>
      <c r="D165" s="19" t="s">
        <v>433</v>
      </c>
      <c r="E165" s="32" t="s">
        <v>1463</v>
      </c>
      <c r="F165" s="21"/>
      <c r="G165" s="246" t="s">
        <v>1464</v>
      </c>
      <c r="H165" s="21" t="s">
        <v>187</v>
      </c>
      <c r="I165" s="9" t="s">
        <v>188</v>
      </c>
      <c r="J165" s="28" t="s">
        <v>187</v>
      </c>
      <c r="K165" s="105" t="s">
        <v>1465</v>
      </c>
      <c r="L165" s="218">
        <v>8.7847222222222215E-3</v>
      </c>
      <c r="M165" s="543"/>
      <c r="N165" s="584"/>
    </row>
    <row r="166" spans="1:14">
      <c r="A166" s="538"/>
      <c r="B166" s="564"/>
      <c r="C166" s="532"/>
      <c r="D166" s="19" t="s">
        <v>437</v>
      </c>
      <c r="E166" s="32" t="s">
        <v>1466</v>
      </c>
      <c r="F166" s="21"/>
      <c r="G166" s="246" t="s">
        <v>1467</v>
      </c>
      <c r="H166" s="21" t="s">
        <v>187</v>
      </c>
      <c r="I166" s="9" t="s">
        <v>188</v>
      </c>
      <c r="J166" s="28" t="s">
        <v>187</v>
      </c>
      <c r="K166" s="105" t="s">
        <v>1468</v>
      </c>
      <c r="L166" s="218">
        <v>9.9421296296296289E-3</v>
      </c>
      <c r="M166" s="543"/>
      <c r="N166" s="584"/>
    </row>
    <row r="167" spans="1:14">
      <c r="A167" s="566"/>
      <c r="B167" s="570"/>
      <c r="C167" s="532"/>
      <c r="D167" s="19" t="s">
        <v>639</v>
      </c>
      <c r="E167" s="32" t="s">
        <v>1469</v>
      </c>
      <c r="F167" s="21"/>
      <c r="G167" s="246" t="s">
        <v>1470</v>
      </c>
      <c r="H167" s="21" t="s">
        <v>187</v>
      </c>
      <c r="I167" s="9" t="s">
        <v>188</v>
      </c>
      <c r="J167" s="28" t="s">
        <v>187</v>
      </c>
      <c r="K167" s="125" t="s">
        <v>1471</v>
      </c>
      <c r="L167" s="218">
        <v>1.1967592592592592E-2</v>
      </c>
      <c r="M167" s="569"/>
      <c r="N167" s="584"/>
    </row>
    <row r="168" spans="1:14">
      <c r="A168" s="13"/>
      <c r="B168" s="14"/>
      <c r="C168" s="15"/>
      <c r="D168" s="15"/>
      <c r="E168" s="15"/>
      <c r="F168" s="15"/>
      <c r="G168" s="17"/>
      <c r="H168" s="15"/>
      <c r="I168" s="15"/>
      <c r="J168" s="16"/>
      <c r="K168" s="16"/>
      <c r="L168" s="16"/>
      <c r="M168" s="15"/>
      <c r="N168" s="15"/>
    </row>
    <row r="169" spans="1:14">
      <c r="A169" s="551" t="s">
        <v>87</v>
      </c>
      <c r="B169" s="554" t="str">
        <f>VLOOKUP(A169,Geral!$A$1:$D$36,2,FALSE)</f>
        <v>Projeto Integrador - Adaptação curricular</v>
      </c>
      <c r="C169" s="283"/>
      <c r="D169" s="19" t="s">
        <v>217</v>
      </c>
      <c r="E169" s="32" t="s">
        <v>185</v>
      </c>
      <c r="F169" s="10"/>
      <c r="G169" s="21" t="s">
        <v>1472</v>
      </c>
      <c r="H169" s="175"/>
      <c r="I169" s="9" t="s">
        <v>188</v>
      </c>
      <c r="J169" s="10" t="s">
        <v>187</v>
      </c>
      <c r="K169" s="105" t="s">
        <v>1473</v>
      </c>
      <c r="L169" s="284">
        <v>2.2916666666666667E-3</v>
      </c>
      <c r="M169" s="573" t="str">
        <f>VLOOKUP(A169,Geral!$A$1:$D$36,3,FALSE)</f>
        <v>Mônica</v>
      </c>
      <c r="N169" s="573" t="str">
        <f>VLOOKUP(A169,Geral!$A$1:$D$36,4,FALSE)</f>
        <v>Alfredo</v>
      </c>
    </row>
    <row r="170" spans="1:14">
      <c r="A170" s="552"/>
      <c r="B170" s="555"/>
      <c r="C170" s="585" t="s">
        <v>183</v>
      </c>
      <c r="D170" s="22" t="s">
        <v>184</v>
      </c>
      <c r="E170" s="32" t="s">
        <v>1474</v>
      </c>
      <c r="F170" s="28" t="s">
        <v>1475</v>
      </c>
      <c r="G170" s="21" t="s">
        <v>1476</v>
      </c>
      <c r="H170" s="175" t="s">
        <v>248</v>
      </c>
      <c r="I170" s="9" t="s">
        <v>188</v>
      </c>
      <c r="J170" s="10" t="s">
        <v>187</v>
      </c>
      <c r="K170" s="107" t="s">
        <v>1477</v>
      </c>
      <c r="L170" s="284">
        <v>1.3344907407407408E-2</v>
      </c>
      <c r="M170" s="582"/>
      <c r="N170" s="582"/>
    </row>
    <row r="171" spans="1:14">
      <c r="A171" s="552"/>
      <c r="B171" s="555"/>
      <c r="C171" s="585"/>
      <c r="D171" s="22" t="s">
        <v>190</v>
      </c>
      <c r="E171" s="32" t="s">
        <v>1478</v>
      </c>
      <c r="F171" s="28" t="s">
        <v>1479</v>
      </c>
      <c r="G171" s="21" t="s">
        <v>1480</v>
      </c>
      <c r="H171" s="175" t="s">
        <v>248</v>
      </c>
      <c r="I171" s="9" t="s">
        <v>188</v>
      </c>
      <c r="J171" s="10" t="s">
        <v>187</v>
      </c>
      <c r="K171" s="107" t="s">
        <v>1481</v>
      </c>
      <c r="L171" s="284">
        <v>1.4965277777777777E-2</v>
      </c>
      <c r="M171" s="582"/>
      <c r="N171" s="582"/>
    </row>
    <row r="172" spans="1:14">
      <c r="A172" s="552"/>
      <c r="B172" s="555"/>
      <c r="C172" s="586"/>
      <c r="D172" s="22" t="s">
        <v>195</v>
      </c>
      <c r="E172" s="32" t="s">
        <v>1482</v>
      </c>
      <c r="F172" s="28" t="s">
        <v>1483</v>
      </c>
      <c r="G172" s="21" t="s">
        <v>1484</v>
      </c>
      <c r="H172" s="175" t="s">
        <v>248</v>
      </c>
      <c r="I172" s="9" t="s">
        <v>188</v>
      </c>
      <c r="J172" s="10" t="s">
        <v>187</v>
      </c>
      <c r="K172" s="107" t="s">
        <v>1485</v>
      </c>
      <c r="L172" s="284">
        <v>1.1493055555555555E-2</v>
      </c>
      <c r="M172" s="582"/>
      <c r="N172" s="582"/>
    </row>
    <row r="173" spans="1:14">
      <c r="A173" s="552"/>
      <c r="B173" s="555"/>
      <c r="C173" s="587" t="s">
        <v>223</v>
      </c>
      <c r="D173" s="19" t="s">
        <v>199</v>
      </c>
      <c r="E173" s="32" t="s">
        <v>1486</v>
      </c>
      <c r="F173" s="28" t="s">
        <v>1487</v>
      </c>
      <c r="G173" s="21" t="s">
        <v>1488</v>
      </c>
      <c r="H173" s="175"/>
      <c r="I173" s="9" t="s">
        <v>188</v>
      </c>
      <c r="J173" s="44" t="s">
        <v>187</v>
      </c>
      <c r="K173" s="107" t="s">
        <v>1489</v>
      </c>
      <c r="L173" s="284">
        <v>2.1655092592592594E-2</v>
      </c>
      <c r="M173" s="582"/>
      <c r="N173" s="582"/>
    </row>
    <row r="174" spans="1:14">
      <c r="A174" s="552"/>
      <c r="B174" s="555"/>
      <c r="C174" s="588"/>
      <c r="D174" s="19" t="s">
        <v>204</v>
      </c>
      <c r="E174" s="32" t="s">
        <v>1490</v>
      </c>
      <c r="F174" s="305" t="s">
        <v>1491</v>
      </c>
      <c r="G174" s="21" t="s">
        <v>1492</v>
      </c>
      <c r="H174" s="175"/>
      <c r="I174" s="9" t="s">
        <v>188</v>
      </c>
      <c r="J174" s="10" t="s">
        <v>187</v>
      </c>
      <c r="K174" s="107" t="s">
        <v>1493</v>
      </c>
      <c r="L174" s="284">
        <v>7.951388888888888E-3</v>
      </c>
      <c r="M174" s="582"/>
      <c r="N174" s="582"/>
    </row>
    <row r="175" spans="1:14">
      <c r="A175" s="13"/>
      <c r="B175" s="14"/>
      <c r="C175" s="15"/>
      <c r="D175" s="15"/>
      <c r="E175" s="13"/>
      <c r="F175" s="15"/>
      <c r="G175" s="17"/>
      <c r="H175" s="15"/>
      <c r="I175" s="15"/>
      <c r="J175" s="16"/>
      <c r="K175" s="16"/>
      <c r="L175" s="16"/>
      <c r="M175" s="16"/>
      <c r="N175" s="16"/>
    </row>
    <row r="176" spans="1:14" ht="15" customHeight="1">
      <c r="A176" s="551" t="s">
        <v>90</v>
      </c>
      <c r="B176" s="580" t="str">
        <f>VLOOKUP(A176,Geral!$A$1:$D$36,2,FALSE)</f>
        <v>Fundamentos da Matemática Elementar</v>
      </c>
      <c r="C176" s="577" t="s">
        <v>245</v>
      </c>
      <c r="D176" s="19" t="s">
        <v>217</v>
      </c>
      <c r="E176" s="140" t="s">
        <v>185</v>
      </c>
      <c r="F176" s="10"/>
      <c r="G176" s="162" t="s">
        <v>1494</v>
      </c>
      <c r="H176" s="21" t="s">
        <v>187</v>
      </c>
      <c r="I176" s="9" t="s">
        <v>188</v>
      </c>
      <c r="J176" s="44" t="s">
        <v>187</v>
      </c>
      <c r="K176" s="105" t="s">
        <v>1495</v>
      </c>
      <c r="L176" s="218">
        <v>1.4236111111111112E-3</v>
      </c>
      <c r="M176" s="579" t="s">
        <v>1496</v>
      </c>
      <c r="N176" s="572" t="str">
        <f>VLOOKUP(A176,Geral!$A$1:$D$36,4,FALSE)</f>
        <v>Rafael</v>
      </c>
    </row>
    <row r="177" spans="1:14" ht="15.75" customHeight="1">
      <c r="A177" s="552"/>
      <c r="B177" s="581"/>
      <c r="C177" s="577"/>
      <c r="D177" s="19" t="s">
        <v>184</v>
      </c>
      <c r="E177" s="140" t="s">
        <v>1497</v>
      </c>
      <c r="F177" s="44" t="s">
        <v>1498</v>
      </c>
      <c r="G177" s="21" t="s">
        <v>1499</v>
      </c>
      <c r="H177" s="21" t="s">
        <v>187</v>
      </c>
      <c r="I177" s="9" t="s">
        <v>188</v>
      </c>
      <c r="J177" s="10" t="s">
        <v>187</v>
      </c>
      <c r="K177" s="105" t="s">
        <v>1500</v>
      </c>
      <c r="L177" s="218">
        <v>1.1064814814814816E-2</v>
      </c>
      <c r="M177" s="579"/>
      <c r="N177" s="572"/>
    </row>
    <row r="178" spans="1:14" ht="15.75" customHeight="1">
      <c r="A178" s="552"/>
      <c r="B178" s="581"/>
      <c r="C178" s="578"/>
      <c r="D178" s="19" t="s">
        <v>190</v>
      </c>
      <c r="E178" s="140" t="s">
        <v>1501</v>
      </c>
      <c r="F178" s="66"/>
      <c r="G178" s="21" t="s">
        <v>1502</v>
      </c>
      <c r="H178" s="21" t="s">
        <v>187</v>
      </c>
      <c r="I178" s="9" t="s">
        <v>188</v>
      </c>
      <c r="J178" s="10" t="s">
        <v>187</v>
      </c>
      <c r="K178" s="105" t="s">
        <v>1503</v>
      </c>
      <c r="L178" s="218">
        <v>1.8541666666666668E-2</v>
      </c>
      <c r="M178" s="579"/>
      <c r="N178" s="572"/>
    </row>
    <row r="179" spans="1:14" ht="15.75" customHeight="1">
      <c r="A179" s="552"/>
      <c r="B179" s="581"/>
      <c r="C179" s="574" t="s">
        <v>256</v>
      </c>
      <c r="D179" s="19" t="s">
        <v>195</v>
      </c>
      <c r="E179" s="140" t="s">
        <v>1504</v>
      </c>
      <c r="F179" s="66" t="s">
        <v>1498</v>
      </c>
      <c r="G179" s="21" t="s">
        <v>1505</v>
      </c>
      <c r="H179" s="21" t="s">
        <v>187</v>
      </c>
      <c r="I179" s="9" t="s">
        <v>188</v>
      </c>
      <c r="J179" s="10" t="s">
        <v>187</v>
      </c>
      <c r="K179" s="105" t="s">
        <v>1506</v>
      </c>
      <c r="L179" s="218">
        <v>1.0567129629629629E-2</v>
      </c>
      <c r="M179" s="579"/>
      <c r="N179" s="572"/>
    </row>
    <row r="180" spans="1:14" ht="15.75" customHeight="1">
      <c r="A180" s="552"/>
      <c r="B180" s="581"/>
      <c r="C180" s="575"/>
      <c r="D180" s="19" t="s">
        <v>199</v>
      </c>
      <c r="E180" s="140" t="s">
        <v>1507</v>
      </c>
      <c r="F180" s="66"/>
      <c r="G180" s="21" t="s">
        <v>1508</v>
      </c>
      <c r="H180" s="21" t="s">
        <v>187</v>
      </c>
      <c r="I180" s="9" t="s">
        <v>188</v>
      </c>
      <c r="J180" s="10" t="s">
        <v>187</v>
      </c>
      <c r="K180" s="105" t="s">
        <v>1509</v>
      </c>
      <c r="L180" s="218">
        <v>2.2372685185185186E-2</v>
      </c>
      <c r="M180" s="579"/>
      <c r="N180" s="572"/>
    </row>
    <row r="181" spans="1:14" ht="15.75" customHeight="1">
      <c r="A181" s="552"/>
      <c r="B181" s="581"/>
      <c r="C181" s="576"/>
      <c r="D181" s="19" t="s">
        <v>204</v>
      </c>
      <c r="E181" s="140" t="s">
        <v>1510</v>
      </c>
      <c r="F181" s="76"/>
      <c r="G181" s="21" t="s">
        <v>1511</v>
      </c>
      <c r="H181" s="21" t="s">
        <v>187</v>
      </c>
      <c r="I181" s="9" t="s">
        <v>188</v>
      </c>
      <c r="J181" s="28" t="s">
        <v>187</v>
      </c>
      <c r="K181" s="105" t="s">
        <v>1512</v>
      </c>
      <c r="L181" s="218">
        <v>1.0104166666666666E-2</v>
      </c>
      <c r="M181" s="579"/>
      <c r="N181" s="572"/>
    </row>
    <row r="182" spans="1:14" ht="15.75" customHeight="1">
      <c r="A182" s="552"/>
      <c r="B182" s="581"/>
      <c r="C182" s="574" t="s">
        <v>266</v>
      </c>
      <c r="D182" s="19" t="s">
        <v>208</v>
      </c>
      <c r="E182" s="140" t="s">
        <v>1513</v>
      </c>
      <c r="F182" s="76" t="s">
        <v>1498</v>
      </c>
      <c r="G182" s="325" t="s">
        <v>1514</v>
      </c>
      <c r="H182" s="21" t="s">
        <v>187</v>
      </c>
      <c r="I182" s="9" t="s">
        <v>188</v>
      </c>
      <c r="J182" s="28" t="s">
        <v>187</v>
      </c>
      <c r="K182" s="125" t="s">
        <v>1515</v>
      </c>
      <c r="L182" s="218"/>
      <c r="M182" s="579"/>
      <c r="N182" s="572"/>
    </row>
    <row r="183" spans="1:14" ht="15.75" customHeight="1">
      <c r="A183" s="552"/>
      <c r="B183" s="581"/>
      <c r="C183" s="575"/>
      <c r="D183" s="19" t="s">
        <v>213</v>
      </c>
      <c r="E183" s="140" t="s">
        <v>1516</v>
      </c>
      <c r="F183" s="76"/>
      <c r="G183" s="21" t="s">
        <v>1517</v>
      </c>
      <c r="H183" s="21" t="s">
        <v>187</v>
      </c>
      <c r="I183" s="289" t="s">
        <v>188</v>
      </c>
      <c r="J183" s="29" t="s">
        <v>187</v>
      </c>
      <c r="K183" s="105" t="s">
        <v>1518</v>
      </c>
      <c r="L183" s="218">
        <v>1.9537037037037037E-2</v>
      </c>
      <c r="M183" s="579"/>
      <c r="N183" s="572"/>
    </row>
    <row r="184" spans="1:14" ht="15.75" customHeight="1">
      <c r="A184" s="552"/>
      <c r="B184" s="581"/>
      <c r="C184" s="575"/>
      <c r="D184" s="19" t="s">
        <v>270</v>
      </c>
      <c r="E184" s="140" t="s">
        <v>1519</v>
      </c>
      <c r="F184" s="67"/>
      <c r="G184" s="21" t="s">
        <v>1520</v>
      </c>
      <c r="H184" s="21" t="s">
        <v>187</v>
      </c>
      <c r="I184" s="9" t="s">
        <v>188</v>
      </c>
      <c r="J184" s="29" t="s">
        <v>187</v>
      </c>
      <c r="K184" s="105" t="s">
        <v>1521</v>
      </c>
      <c r="L184" s="218">
        <v>1.6805555555555556E-2</v>
      </c>
      <c r="M184" s="579"/>
      <c r="N184" s="572"/>
    </row>
    <row r="185" spans="1:14" ht="15.75" customHeight="1">
      <c r="A185" s="552"/>
      <c r="B185" s="581"/>
      <c r="C185" s="575"/>
      <c r="D185" s="19" t="s">
        <v>274</v>
      </c>
      <c r="E185" s="140" t="s">
        <v>1522</v>
      </c>
      <c r="F185" s="67"/>
      <c r="G185" s="21" t="s">
        <v>1523</v>
      </c>
      <c r="H185" s="21" t="s">
        <v>187</v>
      </c>
      <c r="I185" s="9" t="s">
        <v>188</v>
      </c>
      <c r="J185" s="29" t="s">
        <v>187</v>
      </c>
      <c r="K185" s="105" t="s">
        <v>1524</v>
      </c>
      <c r="L185" s="218">
        <v>1.3865740740740741E-2</v>
      </c>
      <c r="M185" s="579"/>
      <c r="N185" s="572"/>
    </row>
    <row r="186" spans="1:14" ht="15.75" customHeight="1">
      <c r="A186" s="552"/>
      <c r="B186" s="581"/>
      <c r="C186" s="575"/>
      <c r="D186" s="19" t="s">
        <v>279</v>
      </c>
      <c r="E186" s="140" t="s">
        <v>1525</v>
      </c>
      <c r="F186" s="76"/>
      <c r="G186" s="21" t="s">
        <v>1526</v>
      </c>
      <c r="H186" s="21" t="s">
        <v>187</v>
      </c>
      <c r="I186" s="9" t="s">
        <v>188</v>
      </c>
      <c r="J186" s="28" t="s">
        <v>187</v>
      </c>
      <c r="K186" s="105" t="s">
        <v>1527</v>
      </c>
      <c r="L186" s="266">
        <v>1.5497685185185186E-2</v>
      </c>
      <c r="M186" s="579"/>
      <c r="N186" s="572"/>
    </row>
    <row r="187" spans="1:14" ht="15.75" customHeight="1">
      <c r="A187" s="552"/>
      <c r="B187" s="581"/>
      <c r="C187" s="576"/>
      <c r="D187" s="19" t="s">
        <v>283</v>
      </c>
      <c r="E187" s="140" t="s">
        <v>1528</v>
      </c>
      <c r="F187" s="76"/>
      <c r="G187" s="21" t="s">
        <v>1529</v>
      </c>
      <c r="H187" s="21" t="s">
        <v>187</v>
      </c>
      <c r="I187" s="9" t="s">
        <v>188</v>
      </c>
      <c r="J187" s="28" t="s">
        <v>187</v>
      </c>
      <c r="K187" s="105" t="s">
        <v>1530</v>
      </c>
      <c r="L187" s="218">
        <v>1.074074074074074E-2</v>
      </c>
      <c r="M187" s="579"/>
      <c r="N187" s="572"/>
    </row>
    <row r="188" spans="1:14" ht="15.75" customHeight="1">
      <c r="A188" s="552"/>
      <c r="B188" s="581"/>
      <c r="C188" s="574" t="s">
        <v>278</v>
      </c>
      <c r="D188" s="19" t="s">
        <v>287</v>
      </c>
      <c r="E188" s="140" t="s">
        <v>1531</v>
      </c>
      <c r="F188" s="76"/>
      <c r="G188" s="21" t="s">
        <v>1532</v>
      </c>
      <c r="H188" s="21" t="s">
        <v>187</v>
      </c>
      <c r="I188" s="9" t="s">
        <v>188</v>
      </c>
      <c r="J188" s="28" t="s">
        <v>187</v>
      </c>
      <c r="K188" s="105" t="s">
        <v>1533</v>
      </c>
      <c r="L188" s="218">
        <v>1.9363425925925926E-2</v>
      </c>
      <c r="M188" s="579"/>
      <c r="N188" s="572"/>
    </row>
    <row r="189" spans="1:14" ht="15.75" customHeight="1">
      <c r="A189" s="552"/>
      <c r="B189" s="581"/>
      <c r="C189" s="575"/>
      <c r="D189" s="19" t="s">
        <v>292</v>
      </c>
      <c r="E189" s="140" t="s">
        <v>1534</v>
      </c>
      <c r="F189" s="67"/>
      <c r="G189" s="21" t="s">
        <v>1535</v>
      </c>
      <c r="H189" s="21" t="s">
        <v>187</v>
      </c>
      <c r="I189" s="9" t="s">
        <v>188</v>
      </c>
      <c r="J189" s="28" t="s">
        <v>187</v>
      </c>
      <c r="K189" s="105" t="s">
        <v>1536</v>
      </c>
      <c r="L189" s="218">
        <v>1.2233796296296296E-2</v>
      </c>
      <c r="M189" s="579"/>
      <c r="N189" s="572"/>
    </row>
    <row r="190" spans="1:14" ht="15.75" customHeight="1">
      <c r="A190" s="552"/>
      <c r="B190" s="581"/>
      <c r="C190" s="576"/>
      <c r="D190" s="19" t="s">
        <v>297</v>
      </c>
      <c r="E190" s="140" t="s">
        <v>1537</v>
      </c>
      <c r="F190" s="67"/>
      <c r="G190" s="21" t="s">
        <v>1538</v>
      </c>
      <c r="H190" s="21" t="s">
        <v>187</v>
      </c>
      <c r="I190" s="9" t="s">
        <v>188</v>
      </c>
      <c r="J190" s="28" t="s">
        <v>187</v>
      </c>
      <c r="K190" s="105" t="s">
        <v>1539</v>
      </c>
      <c r="L190" s="218">
        <v>1.238425925925926E-2</v>
      </c>
      <c r="M190" s="579"/>
      <c r="N190" s="572"/>
    </row>
    <row r="191" spans="1:14" ht="15.75" customHeight="1">
      <c r="A191" s="552"/>
      <c r="B191" s="581"/>
      <c r="C191" s="574" t="s">
        <v>291</v>
      </c>
      <c r="D191" s="19" t="s">
        <v>301</v>
      </c>
      <c r="E191" s="140" t="s">
        <v>1540</v>
      </c>
      <c r="F191" s="76"/>
      <c r="G191" s="21" t="s">
        <v>1541</v>
      </c>
      <c r="H191" s="21" t="s">
        <v>187</v>
      </c>
      <c r="I191" s="9" t="s">
        <v>188</v>
      </c>
      <c r="J191" s="28" t="s">
        <v>187</v>
      </c>
      <c r="K191" s="105" t="s">
        <v>1542</v>
      </c>
      <c r="L191" s="218">
        <v>1.4722222222222222E-2</v>
      </c>
      <c r="M191" s="579"/>
      <c r="N191" s="572"/>
    </row>
    <row r="192" spans="1:14" ht="15.75" customHeight="1">
      <c r="A192" s="552"/>
      <c r="B192" s="581"/>
      <c r="C192" s="575"/>
      <c r="D192" s="19" t="s">
        <v>306</v>
      </c>
      <c r="E192" s="140" t="s">
        <v>1543</v>
      </c>
      <c r="F192" s="77"/>
      <c r="G192" s="21" t="s">
        <v>1544</v>
      </c>
      <c r="H192" s="21" t="s">
        <v>187</v>
      </c>
      <c r="I192" s="9" t="s">
        <v>188</v>
      </c>
      <c r="J192" s="28" t="s">
        <v>187</v>
      </c>
      <c r="K192" s="105" t="s">
        <v>1545</v>
      </c>
      <c r="L192" s="218">
        <v>1.0405092592592593E-2</v>
      </c>
      <c r="M192" s="579"/>
      <c r="N192" s="572"/>
    </row>
    <row r="193" spans="1:14" ht="15.75" customHeight="1">
      <c r="A193" s="552"/>
      <c r="B193" s="581"/>
      <c r="C193" s="576"/>
      <c r="D193" s="19" t="s">
        <v>425</v>
      </c>
      <c r="E193" s="140" t="s">
        <v>1546</v>
      </c>
      <c r="F193" s="77"/>
      <c r="G193" s="21" t="s">
        <v>1547</v>
      </c>
      <c r="H193" s="21" t="s">
        <v>187</v>
      </c>
      <c r="I193" s="9" t="s">
        <v>188</v>
      </c>
      <c r="J193" s="28" t="s">
        <v>187</v>
      </c>
      <c r="K193" s="105" t="s">
        <v>1548</v>
      </c>
      <c r="L193" s="218">
        <v>1.8067129629629631E-2</v>
      </c>
      <c r="M193" s="579"/>
      <c r="N193" s="572"/>
    </row>
    <row r="194" spans="1:14" ht="15.75" customHeight="1">
      <c r="A194" s="552"/>
      <c r="B194" s="581"/>
      <c r="C194" s="574" t="s">
        <v>305</v>
      </c>
      <c r="D194" s="19" t="s">
        <v>429</v>
      </c>
      <c r="E194" s="140" t="s">
        <v>1549</v>
      </c>
      <c r="F194" s="77"/>
      <c r="G194" s="21" t="s">
        <v>1550</v>
      </c>
      <c r="H194" s="21" t="s">
        <v>187</v>
      </c>
      <c r="I194" s="9" t="s">
        <v>188</v>
      </c>
      <c r="J194" s="28" t="s">
        <v>187</v>
      </c>
      <c r="K194" s="105" t="s">
        <v>1551</v>
      </c>
      <c r="L194" s="218">
        <v>8.726851851851852E-3</v>
      </c>
      <c r="M194" s="579"/>
      <c r="N194" s="572"/>
    </row>
    <row r="195" spans="1:14" ht="15.75" customHeight="1">
      <c r="A195" s="552"/>
      <c r="B195" s="581"/>
      <c r="C195" s="575"/>
      <c r="D195" s="19" t="s">
        <v>433</v>
      </c>
      <c r="E195" s="140" t="s">
        <v>1552</v>
      </c>
      <c r="F195" s="68"/>
      <c r="G195" s="21" t="s">
        <v>1553</v>
      </c>
      <c r="H195" s="21" t="s">
        <v>187</v>
      </c>
      <c r="I195" s="9" t="s">
        <v>188</v>
      </c>
      <c r="J195" s="110" t="s">
        <v>187</v>
      </c>
      <c r="K195" s="105" t="s">
        <v>1554</v>
      </c>
      <c r="L195" s="218">
        <v>1.5416666666666667E-2</v>
      </c>
      <c r="M195" s="579"/>
      <c r="N195" s="572"/>
    </row>
    <row r="196" spans="1:14" ht="15.75" customHeight="1">
      <c r="A196" s="552"/>
      <c r="B196" s="581"/>
      <c r="C196" s="575"/>
      <c r="D196" s="19" t="s">
        <v>437</v>
      </c>
      <c r="E196" s="140" t="s">
        <v>1555</v>
      </c>
      <c r="F196" s="68"/>
      <c r="G196" s="21" t="s">
        <v>1556</v>
      </c>
      <c r="H196" s="21" t="s">
        <v>187</v>
      </c>
      <c r="I196" s="9" t="s">
        <v>188</v>
      </c>
      <c r="J196" s="28" t="s">
        <v>187</v>
      </c>
      <c r="K196" s="105" t="s">
        <v>1557</v>
      </c>
      <c r="L196" s="218">
        <v>1.0833333333333334E-2</v>
      </c>
      <c r="M196" s="579"/>
      <c r="N196" s="572"/>
    </row>
    <row r="197" spans="1:14" ht="15.75" customHeight="1">
      <c r="A197" s="552"/>
      <c r="B197" s="581"/>
      <c r="C197" s="576"/>
      <c r="D197" s="19" t="s">
        <v>639</v>
      </c>
      <c r="E197" s="140" t="s">
        <v>1558</v>
      </c>
      <c r="F197" s="68"/>
      <c r="G197" s="21" t="s">
        <v>1559</v>
      </c>
      <c r="H197" s="21" t="s">
        <v>187</v>
      </c>
      <c r="I197" s="9" t="s">
        <v>188</v>
      </c>
      <c r="J197" s="28" t="s">
        <v>187</v>
      </c>
      <c r="K197" s="105" t="s">
        <v>1560</v>
      </c>
      <c r="L197" s="218">
        <v>1.5405092592592592E-2</v>
      </c>
      <c r="M197" s="579"/>
      <c r="N197" s="572"/>
    </row>
    <row r="198" spans="1:14" ht="15.75" customHeight="1">
      <c r="A198" s="552"/>
      <c r="B198" s="581"/>
      <c r="C198" s="574" t="s">
        <v>365</v>
      </c>
      <c r="D198" s="19" t="s">
        <v>1561</v>
      </c>
      <c r="E198" s="140" t="s">
        <v>1562</v>
      </c>
      <c r="F198" s="68" t="s">
        <v>1498</v>
      </c>
      <c r="G198" s="21" t="s">
        <v>1563</v>
      </c>
      <c r="H198" s="21" t="s">
        <v>187</v>
      </c>
      <c r="I198" s="9" t="s">
        <v>188</v>
      </c>
      <c r="J198" s="28" t="s">
        <v>187</v>
      </c>
      <c r="K198" s="105" t="s">
        <v>1564</v>
      </c>
      <c r="L198" s="218"/>
      <c r="M198" s="579"/>
      <c r="N198" s="572"/>
    </row>
    <row r="199" spans="1:14" ht="15.75" customHeight="1">
      <c r="A199" s="552"/>
      <c r="B199" s="581"/>
      <c r="C199" s="575"/>
      <c r="D199" s="19" t="s">
        <v>1565</v>
      </c>
      <c r="E199" s="140" t="s">
        <v>1566</v>
      </c>
      <c r="F199" s="68"/>
      <c r="G199" s="21" t="s">
        <v>1567</v>
      </c>
      <c r="H199" s="21" t="s">
        <v>187</v>
      </c>
      <c r="I199" s="9" t="s">
        <v>188</v>
      </c>
      <c r="J199" s="28" t="s">
        <v>187</v>
      </c>
      <c r="K199" s="105" t="s">
        <v>1568</v>
      </c>
      <c r="L199" s="218">
        <v>1.3090277777777777E-2</v>
      </c>
      <c r="M199" s="579"/>
      <c r="N199" s="572"/>
    </row>
    <row r="200" spans="1:14">
      <c r="A200" s="13"/>
      <c r="B200" s="14"/>
      <c r="C200" s="15"/>
      <c r="D200" s="15"/>
      <c r="E200" s="13"/>
      <c r="F200" s="15"/>
      <c r="G200" s="17"/>
      <c r="H200" s="15"/>
      <c r="I200" s="15"/>
      <c r="J200" s="16"/>
      <c r="K200" s="16"/>
      <c r="L200" s="16"/>
      <c r="M200" s="15"/>
      <c r="N200" s="15"/>
    </row>
    <row r="201" spans="1:14">
      <c r="G201" s="21"/>
    </row>
    <row r="202" spans="1:14">
      <c r="G202" s="21"/>
    </row>
    <row r="203" spans="1:14">
      <c r="G203" s="21"/>
    </row>
    <row r="204" spans="1:14">
      <c r="G204" s="21"/>
    </row>
    <row r="205" spans="1:14">
      <c r="G205" s="21"/>
    </row>
    <row r="206" spans="1:14">
      <c r="G206" s="21"/>
    </row>
  </sheetData>
  <autoFilter ref="A1:N23" xr:uid="{E99C7D3D-4E41-4A94-B7B6-18691B3969C4}"/>
  <mergeCells count="98">
    <mergeCell ref="B147:B167"/>
    <mergeCell ref="C147:C149"/>
    <mergeCell ref="B79:B100"/>
    <mergeCell ref="M147:M167"/>
    <mergeCell ref="C98:C100"/>
    <mergeCell ref="C165:C167"/>
    <mergeCell ref="C150:C152"/>
    <mergeCell ref="C153:C155"/>
    <mergeCell ref="C156:C158"/>
    <mergeCell ref="C162:C164"/>
    <mergeCell ref="N79:N100"/>
    <mergeCell ref="C83:C85"/>
    <mergeCell ref="C86:C88"/>
    <mergeCell ref="C89:C91"/>
    <mergeCell ref="C92:C94"/>
    <mergeCell ref="C95:C97"/>
    <mergeCell ref="N25:N46"/>
    <mergeCell ref="C35:C37"/>
    <mergeCell ref="C38:C39"/>
    <mergeCell ref="C29:C31"/>
    <mergeCell ref="C32:C34"/>
    <mergeCell ref="C44:C46"/>
    <mergeCell ref="C40:C43"/>
    <mergeCell ref="C25:C28"/>
    <mergeCell ref="M25:M46"/>
    <mergeCell ref="N2:N23"/>
    <mergeCell ref="C2:C5"/>
    <mergeCell ref="C6:C8"/>
    <mergeCell ref="C9:C11"/>
    <mergeCell ref="A2:A23"/>
    <mergeCell ref="B2:B23"/>
    <mergeCell ref="M2:M23"/>
    <mergeCell ref="C12:C14"/>
    <mergeCell ref="C15:C17"/>
    <mergeCell ref="C18:C20"/>
    <mergeCell ref="C21:C23"/>
    <mergeCell ref="N57:N77"/>
    <mergeCell ref="M57:M77"/>
    <mergeCell ref="A48:A55"/>
    <mergeCell ref="B48:B55"/>
    <mergeCell ref="N48:N55"/>
    <mergeCell ref="C48:C50"/>
    <mergeCell ref="C51:C52"/>
    <mergeCell ref="A25:A46"/>
    <mergeCell ref="C74:C76"/>
    <mergeCell ref="A57:A77"/>
    <mergeCell ref="B57:B77"/>
    <mergeCell ref="C57:C59"/>
    <mergeCell ref="C61:C63"/>
    <mergeCell ref="C64:C66"/>
    <mergeCell ref="B25:B46"/>
    <mergeCell ref="N102:N125"/>
    <mergeCell ref="C107:C109"/>
    <mergeCell ref="C110:C112"/>
    <mergeCell ref="C113:C115"/>
    <mergeCell ref="C117:C119"/>
    <mergeCell ref="C120:C122"/>
    <mergeCell ref="C123:C125"/>
    <mergeCell ref="C102:C105"/>
    <mergeCell ref="M102:M125"/>
    <mergeCell ref="B176:B199"/>
    <mergeCell ref="A176:A199"/>
    <mergeCell ref="M169:M174"/>
    <mergeCell ref="N169:N174"/>
    <mergeCell ref="N128:N145"/>
    <mergeCell ref="C131:C133"/>
    <mergeCell ref="C134:C136"/>
    <mergeCell ref="C137:C139"/>
    <mergeCell ref="C140:C142"/>
    <mergeCell ref="C143:C145"/>
    <mergeCell ref="C128:C130"/>
    <mergeCell ref="M128:M145"/>
    <mergeCell ref="N147:N167"/>
    <mergeCell ref="C170:C172"/>
    <mergeCell ref="C173:C174"/>
    <mergeCell ref="A147:A167"/>
    <mergeCell ref="C176:C178"/>
    <mergeCell ref="C179:C181"/>
    <mergeCell ref="M176:M199"/>
    <mergeCell ref="C182:C187"/>
    <mergeCell ref="C188:C190"/>
    <mergeCell ref="C191:C193"/>
    <mergeCell ref="N176:N199"/>
    <mergeCell ref="M48:M55"/>
    <mergeCell ref="A79:A100"/>
    <mergeCell ref="C79:C82"/>
    <mergeCell ref="M79:M100"/>
    <mergeCell ref="C159:C161"/>
    <mergeCell ref="A128:A145"/>
    <mergeCell ref="B128:B145"/>
    <mergeCell ref="A102:A125"/>
    <mergeCell ref="B102:B125"/>
    <mergeCell ref="C67:C69"/>
    <mergeCell ref="C71:C73"/>
    <mergeCell ref="C194:C197"/>
    <mergeCell ref="C198:C199"/>
    <mergeCell ref="A169:A174"/>
    <mergeCell ref="B169:B174"/>
  </mergeCells>
  <conditionalFormatting sqref="I128:I145 I57:I77 I2:I23 I147:I167">
    <cfRule type="containsText" dxfId="624" priority="337" operator="containsText" text="em edição">
      <formula>NOT(ISERROR(SEARCH("em edição",I2)))</formula>
    </cfRule>
    <cfRule type="containsText" dxfId="623" priority="338" operator="containsText" text="procedimento interno">
      <formula>NOT(ISERROR(SEARCH("procedimento interno",I2)))</formula>
    </cfRule>
    <cfRule type="containsText" dxfId="622" priority="339" operator="containsText" text="finalizado">
      <formula>NOT(ISERROR(SEARCH("finalizado",I2)))</formula>
    </cfRule>
    <cfRule type="containsText" dxfId="621" priority="340" operator="containsText" text="em correção">
      <formula>NOT(ISERROR(SEARCH("em correção",I2)))</formula>
    </cfRule>
    <cfRule type="containsText" dxfId="620" priority="341" operator="containsText" text="editado pela TV">
      <formula>NOT(ISERROR(SEARCH("editado pela TV",I2)))</formula>
    </cfRule>
    <cfRule type="containsText" dxfId="619" priority="342" operator="containsText" text="em correção">
      <formula>NOT(ISERROR(SEARCH("em correção",I2)))</formula>
    </cfRule>
    <cfRule type="containsText" dxfId="618" priority="343" operator="containsText" text="enviado pelo prof">
      <formula>NOT(ISERROR(SEARCH("enviado pelo prof",I2)))</formula>
    </cfRule>
    <cfRule type="containsText" dxfId="617" priority="344" operator="containsText" text="vai gravar">
      <formula>NOT(ISERROR(SEARCH("vai gravar",I2)))</formula>
    </cfRule>
  </conditionalFormatting>
  <conditionalFormatting sqref="J24">
    <cfRule type="containsText" dxfId="616" priority="345" operator="containsText" text="em correção">
      <formula>NOT(ISERROR(SEARCH("em correção",J24)))</formula>
    </cfRule>
    <cfRule type="containsText" dxfId="615" priority="346" operator="containsText" text="em edição">
      <formula>NOT(ISERROR(SEARCH("em edição",J24)))</formula>
    </cfRule>
    <cfRule type="containsText" dxfId="614" priority="347" operator="containsText" text="procedimento interno">
      <formula>NOT(ISERROR(SEARCH("procedimento interno",J24)))</formula>
    </cfRule>
    <cfRule type="containsText" dxfId="613" priority="348" operator="containsText" text="finalizado">
      <formula>NOT(ISERROR(SEARCH("finalizado",J24)))</formula>
    </cfRule>
    <cfRule type="containsText" dxfId="612" priority="349" operator="containsText" text="editado pela TV">
      <formula>NOT(ISERROR(SEARCH("editado pela TV",J24)))</formula>
    </cfRule>
    <cfRule type="containsText" dxfId="611" priority="350" operator="containsText" text="em correção">
      <formula>NOT(ISERROR(SEARCH("em correção",J24)))</formula>
    </cfRule>
    <cfRule type="containsText" dxfId="610" priority="351" operator="containsText" text="enviado pelo prof">
      <formula>NOT(ISERROR(SEARCH("enviado pelo prof",J24)))</formula>
    </cfRule>
    <cfRule type="containsText" dxfId="609" priority="352" operator="containsText" text="vai gravar">
      <formula>NOT(ISERROR(SEARCH("vai gravar",J24)))</formula>
    </cfRule>
  </conditionalFormatting>
  <conditionalFormatting sqref="I25 I27 I42:I46 I36 I31:I32">
    <cfRule type="containsText" dxfId="608" priority="321" operator="containsText" text="em edição">
      <formula>NOT(ISERROR(SEARCH("em edição",I25)))</formula>
    </cfRule>
    <cfRule type="containsText" dxfId="607" priority="322" operator="containsText" text="procedimento interno">
      <formula>NOT(ISERROR(SEARCH("procedimento interno",I25)))</formula>
    </cfRule>
    <cfRule type="containsText" dxfId="606" priority="323" operator="containsText" text="finalizado">
      <formula>NOT(ISERROR(SEARCH("finalizado",I25)))</formula>
    </cfRule>
    <cfRule type="containsText" dxfId="605" priority="324" operator="containsText" text="em correção">
      <formula>NOT(ISERROR(SEARCH("em correção",I25)))</formula>
    </cfRule>
    <cfRule type="containsText" dxfId="604" priority="325" operator="containsText" text="editado pela TV">
      <formula>NOT(ISERROR(SEARCH("editado pela TV",I25)))</formula>
    </cfRule>
    <cfRule type="containsText" dxfId="603" priority="326" operator="containsText" text="em correção">
      <formula>NOT(ISERROR(SEARCH("em correção",I25)))</formula>
    </cfRule>
    <cfRule type="containsText" dxfId="602" priority="327" operator="containsText" text="enviado pelo prof">
      <formula>NOT(ISERROR(SEARCH("enviado pelo prof",I25)))</formula>
    </cfRule>
    <cfRule type="containsText" dxfId="601" priority="328" operator="containsText" text="vai gravar">
      <formula>NOT(ISERROR(SEARCH("vai gravar",I25)))</formula>
    </cfRule>
  </conditionalFormatting>
  <conditionalFormatting sqref="J101">
    <cfRule type="containsText" dxfId="600" priority="241" operator="containsText" text="em correção">
      <formula>NOT(ISERROR(SEARCH("em correção",J101)))</formula>
    </cfRule>
    <cfRule type="containsText" dxfId="599" priority="242" operator="containsText" text="em edição">
      <formula>NOT(ISERROR(SEARCH("em edição",J101)))</formula>
    </cfRule>
    <cfRule type="containsText" dxfId="598" priority="243" operator="containsText" text="procedimento interno">
      <formula>NOT(ISERROR(SEARCH("procedimento interno",J101)))</formula>
    </cfRule>
    <cfRule type="containsText" dxfId="597" priority="244" operator="containsText" text="finalizado">
      <formula>NOT(ISERROR(SEARCH("finalizado",J101)))</formula>
    </cfRule>
    <cfRule type="containsText" dxfId="596" priority="245" operator="containsText" text="editado pela TV">
      <formula>NOT(ISERROR(SEARCH("editado pela TV",J101)))</formula>
    </cfRule>
    <cfRule type="containsText" dxfId="595" priority="246" operator="containsText" text="em correção">
      <formula>NOT(ISERROR(SEARCH("em correção",J101)))</formula>
    </cfRule>
    <cfRule type="containsText" dxfId="594" priority="247" operator="containsText" text="enviado pelo prof">
      <formula>NOT(ISERROR(SEARCH("enviado pelo prof",J101)))</formula>
    </cfRule>
    <cfRule type="containsText" dxfId="593" priority="248" operator="containsText" text="vai gravar">
      <formula>NOT(ISERROR(SEARCH("vai gravar",J101)))</formula>
    </cfRule>
  </conditionalFormatting>
  <conditionalFormatting sqref="I102:I126">
    <cfRule type="containsText" dxfId="592" priority="217" operator="containsText" text="em edição">
      <formula>NOT(ISERROR(SEARCH("em edição",I102)))</formula>
    </cfRule>
    <cfRule type="containsText" dxfId="591" priority="218" operator="containsText" text="procedimento interno">
      <formula>NOT(ISERROR(SEARCH("procedimento interno",I102)))</formula>
    </cfRule>
    <cfRule type="containsText" dxfId="590" priority="219" operator="containsText" text="finalizado">
      <formula>NOT(ISERROR(SEARCH("finalizado",I102)))</formula>
    </cfRule>
    <cfRule type="containsText" dxfId="589" priority="220" operator="containsText" text="em correção">
      <formula>NOT(ISERROR(SEARCH("em correção",I102)))</formula>
    </cfRule>
    <cfRule type="containsText" dxfId="588" priority="221" operator="containsText" text="editado pela TV">
      <formula>NOT(ISERROR(SEARCH("editado pela TV",I102)))</formula>
    </cfRule>
    <cfRule type="containsText" dxfId="587" priority="222" operator="containsText" text="em correção">
      <formula>NOT(ISERROR(SEARCH("em correção",I102)))</formula>
    </cfRule>
    <cfRule type="containsText" dxfId="586" priority="223" operator="containsText" text="enviado pelo prof">
      <formula>NOT(ISERROR(SEARCH("enviado pelo prof",I102)))</formula>
    </cfRule>
    <cfRule type="containsText" dxfId="585" priority="224" operator="containsText" text="vai gravar">
      <formula>NOT(ISERROR(SEARCH("vai gravar",I102)))</formula>
    </cfRule>
  </conditionalFormatting>
  <conditionalFormatting sqref="J127">
    <cfRule type="containsText" dxfId="584" priority="225" operator="containsText" text="em correção">
      <formula>NOT(ISERROR(SEARCH("em correção",J127)))</formula>
    </cfRule>
    <cfRule type="containsText" dxfId="583" priority="226" operator="containsText" text="em edição">
      <formula>NOT(ISERROR(SEARCH("em edição",J127)))</formula>
    </cfRule>
    <cfRule type="containsText" dxfId="582" priority="227" operator="containsText" text="procedimento interno">
      <formula>NOT(ISERROR(SEARCH("procedimento interno",J127)))</formula>
    </cfRule>
    <cfRule type="containsText" dxfId="581" priority="228" operator="containsText" text="finalizado">
      <formula>NOT(ISERROR(SEARCH("finalizado",J127)))</formula>
    </cfRule>
    <cfRule type="containsText" dxfId="580" priority="229" operator="containsText" text="editado pela TV">
      <formula>NOT(ISERROR(SEARCH("editado pela TV",J127)))</formula>
    </cfRule>
    <cfRule type="containsText" dxfId="579" priority="230" operator="containsText" text="em correção">
      <formula>NOT(ISERROR(SEARCH("em correção",J127)))</formula>
    </cfRule>
    <cfRule type="containsText" dxfId="578" priority="231" operator="containsText" text="enviado pelo prof">
      <formula>NOT(ISERROR(SEARCH("enviado pelo prof",J127)))</formula>
    </cfRule>
    <cfRule type="containsText" dxfId="577" priority="232" operator="containsText" text="vai gravar">
      <formula>NOT(ISERROR(SEARCH("vai gravar",J127)))</formula>
    </cfRule>
  </conditionalFormatting>
  <conditionalFormatting sqref="J146">
    <cfRule type="containsText" dxfId="576" priority="209" operator="containsText" text="em correção">
      <formula>NOT(ISERROR(SEARCH("em correção",J146)))</formula>
    </cfRule>
    <cfRule type="containsText" dxfId="575" priority="210" operator="containsText" text="em edição">
      <formula>NOT(ISERROR(SEARCH("em edição",J146)))</formula>
    </cfRule>
    <cfRule type="containsText" dxfId="574" priority="211" operator="containsText" text="procedimento interno">
      <formula>NOT(ISERROR(SEARCH("procedimento interno",J146)))</formula>
    </cfRule>
    <cfRule type="containsText" dxfId="573" priority="212" operator="containsText" text="finalizado">
      <formula>NOT(ISERROR(SEARCH("finalizado",J146)))</formula>
    </cfRule>
    <cfRule type="containsText" dxfId="572" priority="213" operator="containsText" text="editado pela TV">
      <formula>NOT(ISERROR(SEARCH("editado pela TV",J146)))</formula>
    </cfRule>
    <cfRule type="containsText" dxfId="571" priority="214" operator="containsText" text="em correção">
      <formula>NOT(ISERROR(SEARCH("em correção",J146)))</formula>
    </cfRule>
    <cfRule type="containsText" dxfId="570" priority="215" operator="containsText" text="enviado pelo prof">
      <formula>NOT(ISERROR(SEARCH("enviado pelo prof",J146)))</formula>
    </cfRule>
    <cfRule type="containsText" dxfId="569" priority="216" operator="containsText" text="vai gravar">
      <formula>NOT(ISERROR(SEARCH("vai gravar",J146)))</formula>
    </cfRule>
  </conditionalFormatting>
  <conditionalFormatting sqref="J168">
    <cfRule type="containsText" dxfId="568" priority="193" operator="containsText" text="em correção">
      <formula>NOT(ISERROR(SEARCH("em correção",J168)))</formula>
    </cfRule>
    <cfRule type="containsText" dxfId="567" priority="194" operator="containsText" text="em edição">
      <formula>NOT(ISERROR(SEARCH("em edição",J168)))</formula>
    </cfRule>
    <cfRule type="containsText" dxfId="566" priority="195" operator="containsText" text="procedimento interno">
      <formula>NOT(ISERROR(SEARCH("procedimento interno",J168)))</formula>
    </cfRule>
    <cfRule type="containsText" dxfId="565" priority="196" operator="containsText" text="finalizado">
      <formula>NOT(ISERROR(SEARCH("finalizado",J168)))</formula>
    </cfRule>
    <cfRule type="containsText" dxfId="564" priority="197" operator="containsText" text="editado pela TV">
      <formula>NOT(ISERROR(SEARCH("editado pela TV",J168)))</formula>
    </cfRule>
    <cfRule type="containsText" dxfId="563" priority="198" operator="containsText" text="em correção">
      <formula>NOT(ISERROR(SEARCH("em correção",J168)))</formula>
    </cfRule>
    <cfRule type="containsText" dxfId="562" priority="199" operator="containsText" text="enviado pelo prof">
      <formula>NOT(ISERROR(SEARCH("enviado pelo prof",J168)))</formula>
    </cfRule>
    <cfRule type="containsText" dxfId="561" priority="200" operator="containsText" text="vai gravar">
      <formula>NOT(ISERROR(SEARCH("vai gravar",J168)))</formula>
    </cfRule>
  </conditionalFormatting>
  <conditionalFormatting sqref="I48:I55">
    <cfRule type="containsText" dxfId="560" priority="161" operator="containsText" text="em edição">
      <formula>NOT(ISERROR(SEARCH("em edição",I48)))</formula>
    </cfRule>
    <cfRule type="containsText" dxfId="559" priority="162" operator="containsText" text="procedimento interno">
      <formula>NOT(ISERROR(SEARCH("procedimento interno",I48)))</formula>
    </cfRule>
    <cfRule type="containsText" dxfId="558" priority="163" operator="containsText" text="finalizado">
      <formula>NOT(ISERROR(SEARCH("finalizado",I48)))</formula>
    </cfRule>
    <cfRule type="containsText" dxfId="557" priority="164" operator="containsText" text="em correção">
      <formula>NOT(ISERROR(SEARCH("em correção",I48)))</formula>
    </cfRule>
    <cfRule type="containsText" dxfId="556" priority="165" operator="containsText" text="editado pela TV">
      <formula>NOT(ISERROR(SEARCH("editado pela TV",I48)))</formula>
    </cfRule>
    <cfRule type="containsText" dxfId="555" priority="166" operator="containsText" text="em correção">
      <formula>NOT(ISERROR(SEARCH("em correção",I48)))</formula>
    </cfRule>
    <cfRule type="containsText" dxfId="554" priority="167" operator="containsText" text="enviado pelo prof">
      <formula>NOT(ISERROR(SEARCH("enviado pelo prof",I48)))</formula>
    </cfRule>
    <cfRule type="containsText" dxfId="553" priority="168" operator="containsText" text="vai gravar">
      <formula>NOT(ISERROR(SEARCH("vai gravar",I48)))</formula>
    </cfRule>
  </conditionalFormatting>
  <conditionalFormatting sqref="J175">
    <cfRule type="containsText" dxfId="552" priority="153" operator="containsText" text="em edição">
      <formula>NOT(ISERROR(SEARCH("em edição",J175)))</formula>
    </cfRule>
    <cfRule type="containsText" dxfId="551" priority="154" operator="containsText" text="procedimento interno">
      <formula>NOT(ISERROR(SEARCH("procedimento interno",J175)))</formula>
    </cfRule>
    <cfRule type="containsText" dxfId="550" priority="155" operator="containsText" text="finalizado">
      <formula>NOT(ISERROR(SEARCH("finalizado",J175)))</formula>
    </cfRule>
    <cfRule type="containsText" dxfId="549" priority="156" operator="containsText" text="em correção">
      <formula>NOT(ISERROR(SEARCH("em correção",J175)))</formula>
    </cfRule>
    <cfRule type="containsText" dxfId="548" priority="157" operator="containsText" text="editado pela TV">
      <formula>NOT(ISERROR(SEARCH("editado pela TV",J175)))</formula>
    </cfRule>
    <cfRule type="containsText" dxfId="547" priority="158" operator="containsText" text="em correção">
      <formula>NOT(ISERROR(SEARCH("em correção",J175)))</formula>
    </cfRule>
    <cfRule type="containsText" dxfId="546" priority="159" operator="containsText" text="enviado pelo prof">
      <formula>NOT(ISERROR(SEARCH("enviado pelo prof",J175)))</formula>
    </cfRule>
    <cfRule type="containsText" dxfId="545" priority="160" operator="containsText" text="vai gravar">
      <formula>NOT(ISERROR(SEARCH("vai gravar",J175)))</formula>
    </cfRule>
  </conditionalFormatting>
  <conditionalFormatting sqref="I169:I174">
    <cfRule type="containsText" dxfId="544" priority="145" operator="containsText" text="em edição">
      <formula>NOT(ISERROR(SEARCH("em edição",I169)))</formula>
    </cfRule>
    <cfRule type="containsText" dxfId="543" priority="146" operator="containsText" text="procedimento interno">
      <formula>NOT(ISERROR(SEARCH("procedimento interno",I169)))</formula>
    </cfRule>
    <cfRule type="containsText" dxfId="542" priority="147" operator="containsText" text="finalizado">
      <formula>NOT(ISERROR(SEARCH("finalizado",I169)))</formula>
    </cfRule>
    <cfRule type="containsText" dxfId="541" priority="148" operator="containsText" text="em correção">
      <formula>NOT(ISERROR(SEARCH("em correção",I169)))</formula>
    </cfRule>
    <cfRule type="containsText" dxfId="540" priority="149" operator="containsText" text="editado pela TV">
      <formula>NOT(ISERROR(SEARCH("editado pela TV",I169)))</formula>
    </cfRule>
    <cfRule type="containsText" dxfId="539" priority="150" operator="containsText" text="em correção">
      <formula>NOT(ISERROR(SEARCH("em correção",I169)))</formula>
    </cfRule>
    <cfRule type="containsText" dxfId="538" priority="151" operator="containsText" text="enviado pelo prof">
      <formula>NOT(ISERROR(SEARCH("enviado pelo prof",I169)))</formula>
    </cfRule>
    <cfRule type="containsText" dxfId="537" priority="152" operator="containsText" text="vai gravar">
      <formula>NOT(ISERROR(SEARCH("vai gravar",I169)))</formula>
    </cfRule>
  </conditionalFormatting>
  <conditionalFormatting sqref="I176:I199">
    <cfRule type="containsText" dxfId="536" priority="129" operator="containsText" text="em edição">
      <formula>NOT(ISERROR(SEARCH("em edição",I176)))</formula>
    </cfRule>
    <cfRule type="containsText" dxfId="535" priority="130" operator="containsText" text="procedimento interno">
      <formula>NOT(ISERROR(SEARCH("procedimento interno",I176)))</formula>
    </cfRule>
    <cfRule type="containsText" dxfId="534" priority="131" operator="containsText" text="finalizado">
      <formula>NOT(ISERROR(SEARCH("finalizado",I176)))</formula>
    </cfRule>
    <cfRule type="containsText" dxfId="533" priority="132" operator="containsText" text="em correção">
      <formula>NOT(ISERROR(SEARCH("em correção",I176)))</formula>
    </cfRule>
    <cfRule type="containsText" dxfId="532" priority="133" operator="containsText" text="editado pela TV">
      <formula>NOT(ISERROR(SEARCH("editado pela TV",I176)))</formula>
    </cfRule>
    <cfRule type="containsText" dxfId="531" priority="134" operator="containsText" text="em correção">
      <formula>NOT(ISERROR(SEARCH("em correção",I176)))</formula>
    </cfRule>
    <cfRule type="containsText" dxfId="530" priority="135" operator="containsText" text="enviado pelo prof">
      <formula>NOT(ISERROR(SEARCH("enviado pelo prof",I176)))</formula>
    </cfRule>
    <cfRule type="containsText" dxfId="529" priority="136" operator="containsText" text="vai gravar">
      <formula>NOT(ISERROR(SEARCH("vai gravar",I176)))</formula>
    </cfRule>
  </conditionalFormatting>
  <conditionalFormatting sqref="J200">
    <cfRule type="containsText" dxfId="528" priority="137" operator="containsText" text="em correção">
      <formula>NOT(ISERROR(SEARCH("em correção",J200)))</formula>
    </cfRule>
    <cfRule type="containsText" dxfId="527" priority="138" operator="containsText" text="em edição">
      <formula>NOT(ISERROR(SEARCH("em edição",J200)))</formula>
    </cfRule>
    <cfRule type="containsText" dxfId="526" priority="139" operator="containsText" text="procedimento interno">
      <formula>NOT(ISERROR(SEARCH("procedimento interno",J200)))</formula>
    </cfRule>
    <cfRule type="containsText" dxfId="525" priority="140" operator="containsText" text="finalizado">
      <formula>NOT(ISERROR(SEARCH("finalizado",J200)))</formula>
    </cfRule>
    <cfRule type="containsText" dxfId="524" priority="141" operator="containsText" text="editado pela TV">
      <formula>NOT(ISERROR(SEARCH("editado pela TV",J200)))</formula>
    </cfRule>
    <cfRule type="containsText" dxfId="523" priority="142" operator="containsText" text="em correção">
      <formula>NOT(ISERROR(SEARCH("em correção",J200)))</formula>
    </cfRule>
    <cfRule type="containsText" dxfId="522" priority="143" operator="containsText" text="enviado pelo prof">
      <formula>NOT(ISERROR(SEARCH("enviado pelo prof",J200)))</formula>
    </cfRule>
    <cfRule type="containsText" dxfId="521" priority="144" operator="containsText" text="vai gravar">
      <formula>NOT(ISERROR(SEARCH("vai gravar",J200)))</formula>
    </cfRule>
  </conditionalFormatting>
  <conditionalFormatting sqref="I28 I26">
    <cfRule type="containsText" dxfId="520" priority="113" operator="containsText" text="em edição">
      <formula>NOT(ISERROR(SEARCH("em edição",I26)))</formula>
    </cfRule>
    <cfRule type="containsText" dxfId="519" priority="114" operator="containsText" text="procedimento interno">
      <formula>NOT(ISERROR(SEARCH("procedimento interno",I26)))</formula>
    </cfRule>
    <cfRule type="containsText" dxfId="518" priority="115" operator="containsText" text="finalizado">
      <formula>NOT(ISERROR(SEARCH("finalizado",I26)))</formula>
    </cfRule>
    <cfRule type="containsText" dxfId="517" priority="116" operator="containsText" text="em correção">
      <formula>NOT(ISERROR(SEARCH("em correção",I26)))</formula>
    </cfRule>
    <cfRule type="containsText" dxfId="516" priority="117" operator="containsText" text="editado pela TV">
      <formula>NOT(ISERROR(SEARCH("editado pela TV",I26)))</formula>
    </cfRule>
    <cfRule type="containsText" dxfId="515" priority="118" operator="containsText" text="em correção">
      <formula>NOT(ISERROR(SEARCH("em correção",I26)))</formula>
    </cfRule>
    <cfRule type="containsText" dxfId="514" priority="119" operator="containsText" text="enviado pelo prof">
      <formula>NOT(ISERROR(SEARCH("enviado pelo prof",I26)))</formula>
    </cfRule>
    <cfRule type="containsText" dxfId="513" priority="120" operator="containsText" text="vai gravar">
      <formula>NOT(ISERROR(SEARCH("vai gravar",I26)))</formula>
    </cfRule>
  </conditionalFormatting>
  <conditionalFormatting sqref="I29:I30">
    <cfRule type="containsText" dxfId="512" priority="105" operator="containsText" text="em edição">
      <formula>NOT(ISERROR(SEARCH("em edição",I29)))</formula>
    </cfRule>
    <cfRule type="containsText" dxfId="511" priority="106" operator="containsText" text="procedimento interno">
      <formula>NOT(ISERROR(SEARCH("procedimento interno",I29)))</formula>
    </cfRule>
    <cfRule type="containsText" dxfId="510" priority="107" operator="containsText" text="finalizado">
      <formula>NOT(ISERROR(SEARCH("finalizado",I29)))</formula>
    </cfRule>
    <cfRule type="containsText" dxfId="509" priority="108" operator="containsText" text="em correção">
      <formula>NOT(ISERROR(SEARCH("em correção",I29)))</formula>
    </cfRule>
    <cfRule type="containsText" dxfId="508" priority="109" operator="containsText" text="editado pela TV">
      <formula>NOT(ISERROR(SEARCH("editado pela TV",I29)))</formula>
    </cfRule>
    <cfRule type="containsText" dxfId="507" priority="110" operator="containsText" text="em correção">
      <formula>NOT(ISERROR(SEARCH("em correção",I29)))</formula>
    </cfRule>
    <cfRule type="containsText" dxfId="506" priority="111" operator="containsText" text="enviado pelo prof">
      <formula>NOT(ISERROR(SEARCH("enviado pelo prof",I29)))</formula>
    </cfRule>
    <cfRule type="containsText" dxfId="505" priority="112" operator="containsText" text="vai gravar">
      <formula>NOT(ISERROR(SEARCH("vai gravar",I29)))</formula>
    </cfRule>
  </conditionalFormatting>
  <conditionalFormatting sqref="I33:I35">
    <cfRule type="containsText" dxfId="504" priority="97" operator="containsText" text="em edição">
      <formula>NOT(ISERROR(SEARCH("em edição",I33)))</formula>
    </cfRule>
    <cfRule type="containsText" dxfId="503" priority="98" operator="containsText" text="procedimento interno">
      <formula>NOT(ISERROR(SEARCH("procedimento interno",I33)))</formula>
    </cfRule>
    <cfRule type="containsText" dxfId="502" priority="99" operator="containsText" text="finalizado">
      <formula>NOT(ISERROR(SEARCH("finalizado",I33)))</formula>
    </cfRule>
    <cfRule type="containsText" dxfId="501" priority="100" operator="containsText" text="em correção">
      <formula>NOT(ISERROR(SEARCH("em correção",I33)))</formula>
    </cfRule>
    <cfRule type="containsText" dxfId="500" priority="101" operator="containsText" text="editado pela TV">
      <formula>NOT(ISERROR(SEARCH("editado pela TV",I33)))</formula>
    </cfRule>
    <cfRule type="containsText" dxfId="499" priority="102" operator="containsText" text="em correção">
      <formula>NOT(ISERROR(SEARCH("em correção",I33)))</formula>
    </cfRule>
    <cfRule type="containsText" dxfId="498" priority="103" operator="containsText" text="enviado pelo prof">
      <formula>NOT(ISERROR(SEARCH("enviado pelo prof",I33)))</formula>
    </cfRule>
    <cfRule type="containsText" dxfId="497" priority="104" operator="containsText" text="vai gravar">
      <formula>NOT(ISERROR(SEARCH("vai gravar",I33)))</formula>
    </cfRule>
  </conditionalFormatting>
  <conditionalFormatting sqref="I37:I39 I41">
    <cfRule type="containsText" dxfId="496" priority="89" operator="containsText" text="em edição">
      <formula>NOT(ISERROR(SEARCH("em edição",I37)))</formula>
    </cfRule>
    <cfRule type="containsText" dxfId="495" priority="90" operator="containsText" text="procedimento interno">
      <formula>NOT(ISERROR(SEARCH("procedimento interno",I37)))</formula>
    </cfRule>
    <cfRule type="containsText" dxfId="494" priority="91" operator="containsText" text="finalizado">
      <formula>NOT(ISERROR(SEARCH("finalizado",I37)))</formula>
    </cfRule>
    <cfRule type="containsText" dxfId="493" priority="92" operator="containsText" text="em correção">
      <formula>NOT(ISERROR(SEARCH("em correção",I37)))</formula>
    </cfRule>
    <cfRule type="containsText" dxfId="492" priority="93" operator="containsText" text="editado pela TV">
      <formula>NOT(ISERROR(SEARCH("editado pela TV",I37)))</formula>
    </cfRule>
    <cfRule type="containsText" dxfId="491" priority="94" operator="containsText" text="em correção">
      <formula>NOT(ISERROR(SEARCH("em correção",I37)))</formula>
    </cfRule>
    <cfRule type="containsText" dxfId="490" priority="95" operator="containsText" text="enviado pelo prof">
      <formula>NOT(ISERROR(SEARCH("enviado pelo prof",I37)))</formula>
    </cfRule>
    <cfRule type="containsText" dxfId="489" priority="96" operator="containsText" text="vai gravar">
      <formula>NOT(ISERROR(SEARCH("vai gravar",I37)))</formula>
    </cfRule>
  </conditionalFormatting>
  <conditionalFormatting sqref="I79:I94">
    <cfRule type="containsText" dxfId="488" priority="33" operator="containsText" text="em edição">
      <formula>NOT(ISERROR(SEARCH("em edição",I79)))</formula>
    </cfRule>
    <cfRule type="containsText" dxfId="487" priority="34" operator="containsText" text="procedimento interno">
      <formula>NOT(ISERROR(SEARCH("procedimento interno",I79)))</formula>
    </cfRule>
    <cfRule type="containsText" dxfId="486" priority="35" operator="containsText" text="finalizado">
      <formula>NOT(ISERROR(SEARCH("finalizado",I79)))</formula>
    </cfRule>
    <cfRule type="containsText" dxfId="485" priority="36" operator="containsText" text="em correção">
      <formula>NOT(ISERROR(SEARCH("em correção",I79)))</formula>
    </cfRule>
    <cfRule type="containsText" dxfId="484" priority="37" operator="containsText" text="editado pela TV">
      <formula>NOT(ISERROR(SEARCH("editado pela TV",I79)))</formula>
    </cfRule>
    <cfRule type="containsText" dxfId="483" priority="38" operator="containsText" text="em correção">
      <formula>NOT(ISERROR(SEARCH("em correção",I79)))</formula>
    </cfRule>
    <cfRule type="containsText" dxfId="482" priority="39" operator="containsText" text="enviado pelo prof">
      <formula>NOT(ISERROR(SEARCH("enviado pelo prof",I79)))</formula>
    </cfRule>
    <cfRule type="containsText" dxfId="481" priority="40" operator="containsText" text="vai gravar">
      <formula>NOT(ISERROR(SEARCH("vai gravar",I79)))</formula>
    </cfRule>
  </conditionalFormatting>
  <conditionalFormatting sqref="I40">
    <cfRule type="containsText" dxfId="480" priority="9" operator="containsText" text="em edição">
      <formula>NOT(ISERROR(SEARCH("em edição",I40)))</formula>
    </cfRule>
    <cfRule type="containsText" dxfId="479" priority="10" operator="containsText" text="procedimento interno">
      <formula>NOT(ISERROR(SEARCH("procedimento interno",I40)))</formula>
    </cfRule>
    <cfRule type="containsText" dxfId="478" priority="11" operator="containsText" text="finalizado">
      <formula>NOT(ISERROR(SEARCH("finalizado",I40)))</formula>
    </cfRule>
    <cfRule type="containsText" dxfId="477" priority="12" operator="containsText" text="em correção">
      <formula>NOT(ISERROR(SEARCH("em correção",I40)))</formula>
    </cfRule>
    <cfRule type="containsText" dxfId="476" priority="13" operator="containsText" text="editado pela TV">
      <formula>NOT(ISERROR(SEARCH("editado pela TV",I40)))</formula>
    </cfRule>
    <cfRule type="containsText" dxfId="475" priority="14" operator="containsText" text="em correção">
      <formula>NOT(ISERROR(SEARCH("em correção",I40)))</formula>
    </cfRule>
    <cfRule type="containsText" dxfId="474" priority="15" operator="containsText" text="enviado pelo prof">
      <formula>NOT(ISERROR(SEARCH("enviado pelo prof",I40)))</formula>
    </cfRule>
    <cfRule type="containsText" dxfId="473" priority="16" operator="containsText" text="vai gravar">
      <formula>NOT(ISERROR(SEARCH("vai gravar",I40)))</formula>
    </cfRule>
  </conditionalFormatting>
  <conditionalFormatting sqref="I95:I100">
    <cfRule type="containsText" dxfId="472" priority="1" operator="containsText" text="em edição">
      <formula>NOT(ISERROR(SEARCH("em edição",I95)))</formula>
    </cfRule>
    <cfRule type="containsText" dxfId="471" priority="2" operator="containsText" text="procedimento interno">
      <formula>NOT(ISERROR(SEARCH("procedimento interno",I95)))</formula>
    </cfRule>
    <cfRule type="containsText" dxfId="470" priority="3" operator="containsText" text="finalizado">
      <formula>NOT(ISERROR(SEARCH("finalizado",I95)))</formula>
    </cfRule>
    <cfRule type="containsText" dxfId="469" priority="4" operator="containsText" text="em correção">
      <formula>NOT(ISERROR(SEARCH("em correção",I95)))</formula>
    </cfRule>
    <cfRule type="containsText" dxfId="468" priority="5" operator="containsText" text="editado pela TV">
      <formula>NOT(ISERROR(SEARCH("editado pela TV",I95)))</formula>
    </cfRule>
    <cfRule type="containsText" dxfId="467" priority="6" operator="containsText" text="em correção">
      <formula>NOT(ISERROR(SEARCH("em correção",I95)))</formula>
    </cfRule>
    <cfRule type="containsText" dxfId="466" priority="7" operator="containsText" text="enviado pelo prof">
      <formula>NOT(ISERROR(SEARCH("enviado pelo prof",I95)))</formula>
    </cfRule>
    <cfRule type="containsText" dxfId="465" priority="8" operator="containsText" text="vai gravar">
      <formula>NOT(ISERROR(SEARCH("vai gravar",I95)))</formula>
    </cfRule>
  </conditionalFormatting>
  <dataValidations count="1">
    <dataValidation type="list" allowBlank="1" showInputMessage="1" showErrorMessage="1" sqref="J200 I147:I167 I48:I55 I176:I199 J175 J101 I57:I77 J127 I169:I174 J146 J168 I2:I23 I102:I126 I25:I46 I128:I145 I79:I100" xr:uid="{726D1596-AC5B-454E-9DD8-58CB9737307B}">
      <formula1>" editado pela TV,finalizado,em correção,enviado pelo prof,vai gravar,em edição,procedimento interno"</formula1>
    </dataValidation>
  </dataValidations>
  <hyperlinks>
    <hyperlink ref="H25" r:id="rId1" xr:uid="{FA4F54BB-804D-4D92-9C72-3260A058C78E}"/>
    <hyperlink ref="H26:H41" r:id="rId2" display="ok" xr:uid="{10C59D92-BE9F-4C1E-9C2D-DBAF224B0A21}"/>
    <hyperlink ref="H128:H145" r:id="rId3" display="ok" xr:uid="{22A91A50-1CBA-4C72-BC6F-0E95F2082ECF}"/>
    <hyperlink ref="H147:H167" r:id="rId4" display="ok" xr:uid="{CC8EE8A9-0276-48A4-8EA5-4471F22C0ED1}"/>
    <hyperlink ref="H80:H100" r:id="rId5" display="ok" xr:uid="{6EF42FAF-7D76-4110-AD74-6D72B5A38818}"/>
    <hyperlink ref="H57" r:id="rId6" xr:uid="{EFCCEEF5-7445-4F42-8C86-4CD0C0D4CD31}"/>
    <hyperlink ref="H58:H76" r:id="rId7" display="Ok" xr:uid="{52F6E41E-FBF7-482C-8988-9EEC750AE956}"/>
    <hyperlink ref="H3" r:id="rId8" xr:uid="{CB3D05F3-D29A-466C-AFAB-16FF22FAF306}"/>
    <hyperlink ref="H4:H23" r:id="rId9" display="Ok" xr:uid="{1B6F73B8-5856-443F-8CCF-A90242F7D314}"/>
    <hyperlink ref="G59" r:id="rId10" xr:uid="{3BEFFF86-0DC6-4723-854E-E207B9C71BE2}"/>
    <hyperlink ref="G61" r:id="rId11" xr:uid="{7C2CE929-D436-4F09-94F1-94E7821AD197}"/>
    <hyperlink ref="G62" r:id="rId12" xr:uid="{C28F8F0E-5026-4C79-B1DE-938035E1A620}"/>
    <hyperlink ref="G63" r:id="rId13" xr:uid="{7FB7DC5E-A417-4520-BA84-721F44DBA859}"/>
    <hyperlink ref="G64" r:id="rId14" xr:uid="{6E65679B-4C41-4B90-8F7A-6CFD5034EBED}"/>
    <hyperlink ref="G65" r:id="rId15" xr:uid="{6CECCFB0-A36D-4A3E-B2B8-0E63DC95E436}"/>
    <hyperlink ref="G66" r:id="rId16" xr:uid="{1B53CE7A-B285-478E-AAA5-30DE53119F9D}"/>
    <hyperlink ref="G68" r:id="rId17" xr:uid="{D4C8A1C7-EE2E-4763-99F2-F0E577E560EA}"/>
    <hyperlink ref="G69" r:id="rId18" xr:uid="{7C424EBA-7E24-482E-8DEE-2E677B126CCB}"/>
    <hyperlink ref="G71" r:id="rId19" xr:uid="{EB055DE5-AD5D-4595-90C3-CB13AB8830BF}"/>
    <hyperlink ref="G72" r:id="rId20" xr:uid="{709F4DBE-ADFA-46EB-9FBF-70FD29D5DFFA}"/>
    <hyperlink ref="G73" r:id="rId21" xr:uid="{1090DC19-63C1-4D60-B7C7-2ECB6A70C77E}"/>
    <hyperlink ref="G58" r:id="rId22" xr:uid="{B52C3558-6FBD-4DF5-935C-F4151A33982C}"/>
    <hyperlink ref="G128" r:id="rId23" xr:uid="{C324D981-006A-4E3C-A9D5-A2DCA4C8EBDC}"/>
    <hyperlink ref="G129" r:id="rId24" xr:uid="{15032052-5BE2-4D8C-A887-E062CA5E962F}"/>
    <hyperlink ref="G130" r:id="rId25" xr:uid="{092EEBD1-F51E-490C-942D-6CC98E733AE8}"/>
    <hyperlink ref="G131" r:id="rId26" xr:uid="{EA029F81-100D-4B2F-8BBD-B5DCD0F0F7B2}"/>
    <hyperlink ref="G132" r:id="rId27" xr:uid="{21ED6E33-09BF-4D23-AD2C-D8BF9709698C}"/>
    <hyperlink ref="G133" r:id="rId28" xr:uid="{4FE3BBF1-A6FC-46B3-8292-5C8CF97F1C97}"/>
    <hyperlink ref="G135" r:id="rId29" xr:uid="{E7AB7E1A-6855-42E7-AE74-8DB95423EC7E}"/>
    <hyperlink ref="G136" r:id="rId30" xr:uid="{69FC7762-1FC6-47CA-8BED-B091F7562896}"/>
    <hyperlink ref="G137" r:id="rId31" xr:uid="{250FF27D-8B8E-403F-9E10-4A437E2DD648}"/>
    <hyperlink ref="G138" r:id="rId32" xr:uid="{AD242165-8BF0-4EFC-9D53-6675DEB93243}"/>
    <hyperlink ref="G139" r:id="rId33" xr:uid="{040D39CC-087F-4B27-B1D1-F97FDD257BAD}"/>
    <hyperlink ref="G140" r:id="rId34" xr:uid="{9D122B7F-9000-42A9-AECB-1D1B251C8DC4}"/>
    <hyperlink ref="G141" r:id="rId35" xr:uid="{8CFEE1C9-74EB-453D-B2CE-6A1124203171}"/>
    <hyperlink ref="G142" r:id="rId36" xr:uid="{5DF324A9-3D8D-451C-8377-B9EA55EBFC13}"/>
    <hyperlink ref="G144" r:id="rId37" xr:uid="{900E953E-4CF2-41FC-96EC-D2FEB125DE77}"/>
    <hyperlink ref="G145" r:id="rId38" xr:uid="{A8D3DBB5-91AA-4060-A984-266A0D9ECF15}"/>
    <hyperlink ref="H48" r:id="rId39" xr:uid="{8C3048A7-899A-4906-AA04-661AB1095A7A}"/>
    <hyperlink ref="H49:H55" r:id="rId40" display="Ok" xr:uid="{FF6E307E-E573-44B2-AF67-0E86B39912AA}"/>
    <hyperlink ref="G48" r:id="rId41" xr:uid="{E773C59D-2694-41B1-8291-11B342156A1E}"/>
    <hyperlink ref="G50" r:id="rId42" xr:uid="{0C55F8B7-DAA4-4C5A-925F-0E58FFF291B7}"/>
    <hyperlink ref="G53" r:id="rId43" xr:uid="{19EE0FE0-2114-4E16-8CDC-9AAD573357DB}"/>
    <hyperlink ref="G54" r:id="rId44" xr:uid="{FBDB4805-A8D2-46B8-A659-0F558C634E22}"/>
    <hyperlink ref="G55" r:id="rId45" xr:uid="{D49E3A53-C324-44A5-9C34-311783BDBA81}"/>
    <hyperlink ref="G51" r:id="rId46" xr:uid="{60A337E8-FFA1-4FC5-8802-09F351B82F5D}"/>
    <hyperlink ref="G52" r:id="rId47" xr:uid="{4C790A70-17B2-4610-8D4C-9F6FB288EE09}"/>
    <hyperlink ref="G26" r:id="rId48" xr:uid="{7711B655-76CD-4D68-BC4A-EDBE40090743}"/>
    <hyperlink ref="G27" r:id="rId49" xr:uid="{767D5C8C-4ACB-47D8-A5E2-7C6EB1A24EEC}"/>
    <hyperlink ref="G28" r:id="rId50" xr:uid="{05EDD288-EE6D-40D7-A415-A1B7C46C154F}"/>
    <hyperlink ref="G29" r:id="rId51" xr:uid="{870F9B64-95CE-4D94-AE32-8E8A00C6E23A}"/>
    <hyperlink ref="G30" r:id="rId52" xr:uid="{A30A2258-3BBE-48D6-9882-090CA2D2CB7F}"/>
    <hyperlink ref="G31" r:id="rId53" xr:uid="{A70D49D7-B954-40EA-B3BE-4678C8FAED2A}"/>
    <hyperlink ref="G33" r:id="rId54" xr:uid="{F5FE1E56-485A-4E37-A1B9-AF9D7A54BBE8}"/>
    <hyperlink ref="G34" r:id="rId55" xr:uid="{C1FFA843-CB91-429C-AF86-D32480D7826E}"/>
    <hyperlink ref="G35" r:id="rId56" xr:uid="{C1C1DC27-9301-4098-99DF-31675880087B}"/>
    <hyperlink ref="G36" r:id="rId57" xr:uid="{7F2A5928-EFCC-4C1E-840E-DC85694B6768}"/>
    <hyperlink ref="G37" r:id="rId58" xr:uid="{A513A589-1601-4B0C-B1BC-8DA37995BFA8}"/>
    <hyperlink ref="G38" r:id="rId59" xr:uid="{763B2ABC-14FC-4E92-B200-5849D7648193}"/>
    <hyperlink ref="G39" r:id="rId60" xr:uid="{3403E7E2-6ED0-4875-8347-429B7409648D}"/>
    <hyperlink ref="G41" r:id="rId61" xr:uid="{56757D46-5029-4D5F-906F-6781C40BB948}"/>
    <hyperlink ref="G2" r:id="rId62" xr:uid="{83960917-A25F-4CD1-AB56-BF9DA061904D}"/>
    <hyperlink ref="G60" r:id="rId63" xr:uid="{73D02148-A6DF-4994-9AC0-7281387A86BC}"/>
    <hyperlink ref="G70" r:id="rId64" xr:uid="{A23E3AF5-4A9B-4E6D-873C-3F48D2DD0108}"/>
    <hyperlink ref="G77" r:id="rId65" xr:uid="{36710308-22F5-4CC1-9C95-794716C6302B}"/>
    <hyperlink ref="G32" r:id="rId66" xr:uid="{64E2B96E-F9CA-4CCB-A7D1-A36EEB4E2A30}"/>
    <hyperlink ref="G49" r:id="rId67" xr:uid="{26B1D25D-3789-43F4-9E43-E18B6D18BCCE}"/>
    <hyperlink ref="G67" r:id="rId68" xr:uid="{A7143308-0F23-4444-8BDC-A6C7438D6A8E}"/>
    <hyperlink ref="G57" r:id="rId69" xr:uid="{89E192F2-053A-45B6-BAEA-461ACEF8719F}"/>
    <hyperlink ref="G3" r:id="rId70" xr:uid="{3D92F817-3D9A-42B8-A2B5-475FA9D364E7}"/>
    <hyperlink ref="G4" r:id="rId71" xr:uid="{E6AE0C25-29C3-4A85-8816-878114DB8F50}"/>
    <hyperlink ref="G5" r:id="rId72" xr:uid="{52632B6D-208F-4CEC-905C-596237CB0926}"/>
    <hyperlink ref="G6" r:id="rId73" xr:uid="{A73A0F70-7BF8-4F11-BE13-4955C4BB1F0E}"/>
    <hyperlink ref="G7" r:id="rId74" xr:uid="{CCFAD45F-4475-4A17-8F4F-AF37A206271C}"/>
    <hyperlink ref="G8" r:id="rId75" xr:uid="{921B6738-CCFB-43F7-BD8A-0851C0663C4F}"/>
    <hyperlink ref="G9" r:id="rId76" xr:uid="{A8B8C649-9435-4834-921A-B5B72991104C}"/>
    <hyperlink ref="G10" r:id="rId77" xr:uid="{81C3AF4E-B192-4BC1-B2BD-791FD74A503F}"/>
    <hyperlink ref="G11" r:id="rId78" xr:uid="{6284B33F-B12E-451C-A551-02A4BB549B9E}"/>
    <hyperlink ref="G12" r:id="rId79" xr:uid="{34343DF9-48B5-4C39-8204-E3C9493EA5B0}"/>
    <hyperlink ref="G13" r:id="rId80" xr:uid="{331D3322-AEBC-4B7C-90C2-6CD41BE7D599}"/>
    <hyperlink ref="G14" r:id="rId81" xr:uid="{AEA3C1B7-1B9D-4592-B7D1-DD16A3FFA608}"/>
    <hyperlink ref="G15" r:id="rId82" xr:uid="{821BB752-DFB6-455D-B8DE-C97103262290}"/>
    <hyperlink ref="G16" r:id="rId83" xr:uid="{44F42E39-AC44-4FE4-99E3-851F7EFB4D71}"/>
    <hyperlink ref="G17" r:id="rId84" xr:uid="{1E8F5FBB-3BF3-4234-B62E-EEC06C3CBE93}"/>
    <hyperlink ref="G18" r:id="rId85" xr:uid="{35FF21D2-D6F5-4A91-8D97-ACE8E3A4CC0A}"/>
    <hyperlink ref="G19" r:id="rId86" xr:uid="{0B19764A-4D61-4BDE-A05F-B7306F49AE90}"/>
    <hyperlink ref="G20" r:id="rId87" xr:uid="{6AEE48F1-3418-4957-90C8-73905514447B}"/>
    <hyperlink ref="G21" r:id="rId88" xr:uid="{D2A56B35-7E9A-4BA0-8CAE-CF6656D7309C}"/>
    <hyperlink ref="G22" r:id="rId89" xr:uid="{7296CAF9-82DD-495A-9F1C-73F32282C923}"/>
    <hyperlink ref="G23" r:id="rId90" xr:uid="{BABE0865-ED57-46A5-A47E-1A93DB67DB82}"/>
    <hyperlink ref="G143" r:id="rId91" xr:uid="{817EA36E-0960-4795-A39B-40FDCBDECD2D}"/>
    <hyperlink ref="G25" r:id="rId92" xr:uid="{BD4F826A-DCB6-477E-8B71-5CC3DF792EE1}"/>
    <hyperlink ref="G134" r:id="rId93" xr:uid="{049503F0-9E77-4A24-BDE6-48D318D755DC}"/>
    <hyperlink ref="H181" r:id="rId94" xr:uid="{A83D9364-7F01-4D90-8FCC-883FE2EE7D3A}"/>
    <hyperlink ref="G178" r:id="rId95" xr:uid="{7E721313-37EA-49D0-AFCC-14C729C35161}"/>
    <hyperlink ref="G180" r:id="rId96" xr:uid="{0E3070BB-D86F-4B52-A47F-D88826A5A9AD}"/>
    <hyperlink ref="G181" r:id="rId97" xr:uid="{5DD28A6B-4557-4175-A7D1-9E6F2CECA11B}"/>
    <hyperlink ref="G184" r:id="rId98" xr:uid="{5B526369-A245-4611-92AA-034E3F9A7453}"/>
    <hyperlink ref="G185" r:id="rId99" xr:uid="{358C960A-090E-4432-B30D-1B224A31AB40}"/>
    <hyperlink ref="G186" r:id="rId100" xr:uid="{DFA7C364-321D-475A-94B6-933E879E7932}"/>
    <hyperlink ref="G187" r:id="rId101" xr:uid="{7D9C44FD-EBAF-4995-8AD1-5B50FA295D60}"/>
    <hyperlink ref="G188" r:id="rId102" xr:uid="{4C43086A-A5B1-47AC-AF6B-A559660FA188}"/>
    <hyperlink ref="G40" r:id="rId103" xr:uid="{C96986AB-B4CC-4E75-A0DF-662FD8AD2A9A}"/>
    <hyperlink ref="G189" r:id="rId104" xr:uid="{DCA4A268-6CAD-428C-A468-F497C65958B0}"/>
    <hyperlink ref="G190" r:id="rId105" xr:uid="{6B900F9E-6639-4348-9421-EE5388A4059F}"/>
    <hyperlink ref="G191" r:id="rId106" xr:uid="{F89F76FF-AC4E-4056-AB54-BF8A08E1FF9D}"/>
    <hyperlink ref="G192" r:id="rId107" xr:uid="{210963A3-5EE1-47AF-B389-777796387822}"/>
    <hyperlink ref="G193" r:id="rId108" xr:uid="{2D06DC29-59FE-4D89-A4E4-2CBD3BFB6B28}"/>
    <hyperlink ref="G194" r:id="rId109" xr:uid="{67327E6B-2F1E-429D-A467-50F31292FDD1}"/>
    <hyperlink ref="G195" r:id="rId110" xr:uid="{61FE3C60-44F0-406E-B7A4-B67CBA009060}"/>
    <hyperlink ref="G196" r:id="rId111" xr:uid="{69B74E3D-8684-44DA-85A2-F920ED42B132}"/>
    <hyperlink ref="G197" r:id="rId112" xr:uid="{B90333CE-A320-4CEF-9C6D-63A418DFDC80}"/>
    <hyperlink ref="H178" r:id="rId113" xr:uid="{531C983C-ADA6-47F9-9B15-CF57EC8AB66E}"/>
    <hyperlink ref="H180" r:id="rId114" xr:uid="{18BFE14E-D9A9-4016-8035-DB4264F4867B}"/>
    <hyperlink ref="H184" r:id="rId115" xr:uid="{8E25044B-B7DC-4952-A9C0-95F4937E878E}"/>
    <hyperlink ref="H185" r:id="rId116" xr:uid="{DA4282A3-89B3-47C0-8B33-DC9E339F0411}"/>
    <hyperlink ref="H186" r:id="rId117" xr:uid="{67424C74-C334-447C-B90A-6F75AF6948EF}"/>
    <hyperlink ref="H188" r:id="rId118" xr:uid="{1EFF8A70-3E87-44E0-9E09-3B5737C6AAEF}"/>
    <hyperlink ref="H187" r:id="rId119" xr:uid="{DE54546D-19A8-4930-B004-BD26D0B4E006}"/>
    <hyperlink ref="H189" r:id="rId120" xr:uid="{1021DC15-4EEB-4C5C-93C4-EBC7E5D5E67E}"/>
    <hyperlink ref="H190" r:id="rId121" xr:uid="{9138BBAF-1F1D-4B44-B458-01B3DEF771CB}"/>
    <hyperlink ref="H177" r:id="rId122" xr:uid="{0F534E75-AEA4-4CC6-BB93-087E3604E0DD}"/>
    <hyperlink ref="H191" r:id="rId123" xr:uid="{059EE271-F7F1-4D50-A8C5-BEEEB42D6254}"/>
    <hyperlink ref="H192" r:id="rId124" xr:uid="{B9678819-2D4D-421B-ACB7-9C6FF570E322}"/>
    <hyperlink ref="H193" r:id="rId125" xr:uid="{14AF0D2D-B888-467B-A1C6-4B28A8E4E393}"/>
    <hyperlink ref="H194" r:id="rId126" xr:uid="{FECFDD7C-7230-4C04-84D1-3F73DACFC4D7}"/>
    <hyperlink ref="H195" r:id="rId127" xr:uid="{ECD7A0EA-2853-4427-9BD8-2F8624185E45}"/>
    <hyperlink ref="H196" r:id="rId128" xr:uid="{029592C1-1C96-4240-91BE-8B2A1638AA1F}"/>
    <hyperlink ref="H197" r:id="rId129" xr:uid="{7E91687D-8764-4278-8486-67A7D0E9DF75}"/>
    <hyperlink ref="H199" r:id="rId130" xr:uid="{9549FD5C-081A-486C-BE5B-6D2DD01488B8}"/>
    <hyperlink ref="H179" r:id="rId131" xr:uid="{B485C6B0-FA1E-41D1-82AF-7DF1568F5FD4}"/>
    <hyperlink ref="H182" r:id="rId132" xr:uid="{6DA01637-DF44-4228-B0E6-9E492491D12A}"/>
    <hyperlink ref="H198" r:id="rId133" xr:uid="{4C990118-9CEA-41FA-9C37-C1E2970CAC26}"/>
    <hyperlink ref="H183" r:id="rId134" xr:uid="{69CB6B6E-B605-420C-AFF3-FC2468C5DC63}"/>
    <hyperlink ref="H176" r:id="rId135" xr:uid="{4A14246F-5F2C-44C4-8EB1-BD5A749F15F3}"/>
    <hyperlink ref="H112" r:id="rId136" xr:uid="{99C0E9BB-7767-47CE-B2E0-81F0D4C4FA09}"/>
    <hyperlink ref="H102:H111" r:id="rId137" display="ok" xr:uid="{A5792252-9065-4D2C-8472-CEB07E8F9EB8}"/>
    <hyperlink ref="G176" r:id="rId138" xr:uid="{A9DD5D14-1887-402C-B190-20428D094085}"/>
    <hyperlink ref="G183" r:id="rId139" xr:uid="{7205FA7E-E88F-4976-B51F-B1900746A7BA}"/>
    <hyperlink ref="H171" r:id="rId140" xr:uid="{ADCF8B5A-A882-45C7-8C56-39E5E6912697}"/>
    <hyperlink ref="H172" r:id="rId141" xr:uid="{661B978B-7AB0-4DBF-9769-693318244F2A}"/>
    <hyperlink ref="H170" r:id="rId142" xr:uid="{5D9FA1AD-C822-4CAB-8E42-C4026AC89478}"/>
    <hyperlink ref="G102" r:id="rId143" xr:uid="{90484529-3A66-408C-BB33-F52B6391B6CA}"/>
    <hyperlink ref="G103" r:id="rId144" xr:uid="{F045F1A1-CFF0-4C0D-B977-7D753EA6E86D}"/>
    <hyperlink ref="G104" r:id="rId145" xr:uid="{135106C8-7BDC-4EC1-B308-85C38535DCC1}"/>
    <hyperlink ref="G107" r:id="rId146" xr:uid="{9CBC0D9D-1EDF-4936-834D-EB54AB858751}"/>
    <hyperlink ref="G112" r:id="rId147" xr:uid="{06C56F56-D16B-4F18-BE90-82D3C8B5E6DB}"/>
    <hyperlink ref="G110" r:id="rId148" xr:uid="{78906C8A-2FB3-4C56-96B9-CE6A91B43EAB}"/>
    <hyperlink ref="G111" r:id="rId149" xr:uid="{AC330FBB-F2EC-462E-A621-181B14C8A69D}"/>
    <hyperlink ref="G199" r:id="rId150" xr:uid="{A8B55F30-32DD-456D-B206-909C62505ADB}"/>
    <hyperlink ref="G169" r:id="rId151" xr:uid="{4A9DE407-39D8-4E3D-943B-935FDF05B329}"/>
    <hyperlink ref="G173" r:id="rId152" xr:uid="{B96BFEC5-5DC7-4331-94E2-B9D03012FEB3}"/>
    <hyperlink ref="G177" r:id="rId153" xr:uid="{D800A37F-C38C-4E6B-BA2E-7E6576932174}"/>
    <hyperlink ref="G179" r:id="rId154" xr:uid="{1172A8F3-88B7-4221-86D6-9626CA0913FC}"/>
    <hyperlink ref="G170" r:id="rId155" xr:uid="{708FE72D-4BEA-46E0-AC38-57EAA34D1224}"/>
    <hyperlink ref="G105" r:id="rId156" xr:uid="{DFBA475B-DC85-45EC-B93F-A432AD9F08EB}"/>
    <hyperlink ref="G108" r:id="rId157" xr:uid="{5570F460-5CE7-4D3B-BC35-88110F000D63}"/>
    <hyperlink ref="G109" r:id="rId158" xr:uid="{888EE75C-AD3C-42E4-8566-54F1BA6D6502}"/>
    <hyperlink ref="G171" r:id="rId159" xr:uid="{D9E1E83D-67A4-4DD6-B911-0F2D15B0149E}"/>
    <hyperlink ref="G172" r:id="rId160" xr:uid="{E2F8034C-C360-4350-B282-D27550DFAB6F}"/>
    <hyperlink ref="G174" r:id="rId161" xr:uid="{5CDF4F69-4B4C-4869-9B8B-ADBB0ADFB37F}"/>
    <hyperlink ref="G75" r:id="rId162" xr:uid="{223AC6B3-3DDA-40EC-8F1B-919515280F84}"/>
    <hyperlink ref="G76" r:id="rId163" xr:uid="{5E1AFC74-8CB2-49B1-9152-E770ADFB0316}"/>
    <hyperlink ref="G74" r:id="rId164" xr:uid="{F5939598-0A44-488A-A16E-BD0E6F475720}"/>
    <hyperlink ref="G198" r:id="rId165" xr:uid="{05B39BA4-9A36-46C3-837E-3A1797C07514}"/>
    <hyperlink ref="G97" r:id="rId166" xr:uid="{B0E1DB9C-0642-444E-8A8C-25682EACF076}"/>
    <hyperlink ref="G98" r:id="rId167" xr:uid="{962EB0BE-50B5-43BB-9F9D-D0403D835E0E}"/>
    <hyperlink ref="G99" r:id="rId168" xr:uid="{346D79BF-028B-4098-A83C-DCFC9993E735}"/>
    <hyperlink ref="G100" r:id="rId169" xr:uid="{3F4E7B8C-9097-4993-BF89-B6DB67BBBB42}"/>
    <hyperlink ref="G159" r:id="rId170" xr:uid="{BB181929-4361-4157-B2B7-9F99E95A7F38}"/>
    <hyperlink ref="G160" r:id="rId171" xr:uid="{4D60DEE6-D0C2-4DD7-A761-B89DD2E120BB}"/>
    <hyperlink ref="G161" r:id="rId172" xr:uid="{CABFE937-EA6D-4E8B-8919-9B7BACACEA6A}"/>
    <hyperlink ref="G162" r:id="rId173" xr:uid="{18EF3271-BD8B-4862-9F1B-D587941CFC97}"/>
    <hyperlink ref="G80" r:id="rId174" xr:uid="{8EBA74B6-421A-4637-BDA0-698968506050}"/>
    <hyperlink ref="G81" r:id="rId175" xr:uid="{A91E6482-F6C0-4CF2-B235-C7CDE42FC033}"/>
    <hyperlink ref="G82" r:id="rId176" xr:uid="{FD554F97-522C-4745-BB9C-1A31BE79B675}"/>
    <hyperlink ref="G121" r:id="rId177" xr:uid="{53705F32-AD4B-4567-8F6A-D4C85A68250D}"/>
    <hyperlink ref="G122" r:id="rId178" xr:uid="{B9813DF0-76F2-4F54-9BE2-E90E34198C7F}"/>
    <hyperlink ref="G123" r:id="rId179" xr:uid="{EF22DBA4-9257-4C1B-9978-C6890AB6E307}"/>
    <hyperlink ref="G124" r:id="rId180" xr:uid="{58B75DE3-280D-44F0-8CBB-07932F1DFE62}"/>
    <hyperlink ref="G125" r:id="rId181" xr:uid="{AF99B46B-3981-4BFF-A458-477D7C86E2E3}"/>
    <hyperlink ref="G83" r:id="rId182" xr:uid="{75A85F1F-C3E5-4BD9-8729-45E8531B5C3A}"/>
    <hyperlink ref="G85" r:id="rId183" xr:uid="{0BD52C5D-FF7E-4619-B197-E9FC375B3E91}"/>
    <hyperlink ref="G84" r:id="rId184" xr:uid="{500EED5B-BDD1-4CE4-933D-172D705E0CF6}"/>
    <hyperlink ref="G86" r:id="rId185" xr:uid="{5A8E8E57-F60B-4AF0-8896-3EC87D1004B9}"/>
    <hyperlink ref="G87" r:id="rId186" xr:uid="{0AA95DE6-0B44-4D81-B40F-F635CE167BAA}"/>
    <hyperlink ref="G89" r:id="rId187" xr:uid="{C959AF83-088B-4007-A07A-DD6460A1C0B2}"/>
    <hyperlink ref="G88" r:id="rId188" xr:uid="{36C2C2CE-1BA6-4A98-B882-10FD838E13B7}"/>
    <hyperlink ref="G90" r:id="rId189" xr:uid="{747B9361-D3A9-4933-BBF8-D2A73ECF3817}"/>
    <hyperlink ref="G92" r:id="rId190" xr:uid="{8EFFEDF8-0ACE-4F26-9B9D-E9F6C6B1EBA3}"/>
    <hyperlink ref="G91" r:id="rId191" xr:uid="{0724F534-EA82-436B-AEEC-0A1944F16046}"/>
    <hyperlink ref="G93" r:id="rId192" xr:uid="{A30E65AF-2EDA-4A2B-952D-48B40D3E3AB1}"/>
    <hyperlink ref="G95" r:id="rId193" xr:uid="{3362C993-6A57-4ED1-9B23-E92D2B44F824}"/>
    <hyperlink ref="G96" r:id="rId194" xr:uid="{A2615C6B-4A34-4E71-A67E-AFCB1D2EC7F5}"/>
    <hyperlink ref="G79" r:id="rId195" xr:uid="{78E32812-717D-4E6B-B2C3-A70F0B23EF9C}"/>
    <hyperlink ref="G147" r:id="rId196" xr:uid="{5B31B6AD-ED64-4586-8567-AD3D2658DD05}"/>
    <hyperlink ref="G148" r:id="rId197" xr:uid="{76E162CC-8656-4F2C-80E4-A9B7BE1977B2}"/>
    <hyperlink ref="G149" r:id="rId198" xr:uid="{F72F2660-663A-4A39-A1D3-7B0D0B316904}"/>
    <hyperlink ref="G150" r:id="rId199" xr:uid="{D98BB9A7-E04F-4D04-8643-F81784C98921}"/>
    <hyperlink ref="G151" r:id="rId200" xr:uid="{A37299F6-0A41-401B-906E-64793C656A08}"/>
    <hyperlink ref="G152" r:id="rId201" xr:uid="{5A9311A0-0537-4DB2-9736-CC9A25959B8D}"/>
    <hyperlink ref="G154" r:id="rId202" xr:uid="{DCC28B88-7771-4DC3-8C29-240B6837D142}"/>
    <hyperlink ref="G167" r:id="rId203" xr:uid="{9B8F8EEC-D797-4F2E-80F2-3922815EC344}"/>
    <hyperlink ref="G163" r:id="rId204" xr:uid="{A734E4A5-6A26-4EA8-B618-65369FB648E3}"/>
    <hyperlink ref="G164" r:id="rId205" xr:uid="{68C1322E-15CC-4E9E-91F5-3E04F4B5DC6B}"/>
    <hyperlink ref="G165" r:id="rId206" xr:uid="{92432E96-B49A-4E6B-8847-328A79CED4F7}"/>
    <hyperlink ref="G166" r:id="rId207" xr:uid="{779B0538-D104-46D0-BA39-B25B808A8774}"/>
    <hyperlink ref="G155" r:id="rId208" xr:uid="{14564713-CFDB-4DF8-9FAC-DC9AE29B70FC}"/>
    <hyperlink ref="G157" r:id="rId209" xr:uid="{FFFE2E95-D363-4743-93D3-D7116C4CB1CF}"/>
    <hyperlink ref="G113" r:id="rId210" xr:uid="{14058F6E-C297-453F-8563-C704D65C7A3F}"/>
    <hyperlink ref="G114" r:id="rId211" xr:uid="{197B3EB3-DB60-4E51-A786-FD28FF7E313F}"/>
    <hyperlink ref="G115" r:id="rId212" xr:uid="{48849314-5A0A-4D93-A170-7F9F3E31C302}"/>
    <hyperlink ref="G117" r:id="rId213" xr:uid="{54086A62-ECA9-4FB6-9A6C-EC3E7BC130B8}"/>
    <hyperlink ref="G182" r:id="rId214" xr:uid="{83B08A8B-09B3-480C-B39D-2FD6BCB019F3}"/>
    <hyperlink ref="G118" r:id="rId215" xr:uid="{90A696F0-E21D-437B-9B1D-486206D8AA85}"/>
    <hyperlink ref="G119" r:id="rId216" xr:uid="{B3E50315-DD50-44D0-8C79-D2A9ECDA41AA}"/>
    <hyperlink ref="G120" r:id="rId217" xr:uid="{C0AF7FCB-7961-4962-8288-C9BEC28DFFF2}"/>
    <hyperlink ref="G156" r:id="rId218" xr:uid="{2EBB0439-8E0D-4199-8A98-80F0E5E2C12B}"/>
    <hyperlink ref="G158" r:id="rId219" xr:uid="{8FB9B7AD-0FA7-47FD-97D1-2A4DF1552FCD}"/>
    <hyperlink ref="G106" r:id="rId220" xr:uid="{A3FDAF4B-697A-4E3B-BCAE-051B89DB57D4}"/>
    <hyperlink ref="G116" r:id="rId221" xr:uid="{586E3CD2-C474-43F7-98E9-AB25ECB419FC}"/>
    <hyperlink ref="G126" r:id="rId222" xr:uid="{F3C36BF6-278F-4631-83E1-900153802B16}"/>
    <hyperlink ref="G94" r:id="rId223" xr:uid="{9EEBE14F-8F6A-4931-A711-A7CE78FA8437}"/>
    <hyperlink ref="G153" r:id="rId224" xr:uid="{500DF27C-E055-4EA7-B243-33568C72E8D9}"/>
  </hyperlinks>
  <pageMargins left="0.7" right="0.7" top="0.75" bottom="0.75" header="0.3" footer="0.3"/>
  <legacyDrawing r:id="rId22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5E40-63E9-4E6C-AC0B-C807962FDA35}">
  <dimension ref="A1:N200"/>
  <sheetViews>
    <sheetView workbookViewId="0">
      <pane ySplit="1" topLeftCell="A18" activePane="bottomLeft" state="frozen"/>
      <selection pane="bottomLeft" activeCell="E14" sqref="E14"/>
    </sheetView>
  </sheetViews>
  <sheetFormatPr defaultRowHeight="15"/>
  <cols>
    <col min="1" max="1" width="9.140625" style="18"/>
    <col min="2" max="2" width="14.140625" style="18" customWidth="1"/>
    <col min="3" max="3" width="10.5703125" style="1" customWidth="1"/>
    <col min="4" max="4" width="12.5703125" style="18" customWidth="1"/>
    <col min="5" max="5" width="53.85546875" style="18" bestFit="1" customWidth="1"/>
    <col min="6" max="6" width="34.28515625" style="232" customWidth="1"/>
    <col min="7" max="7" width="30.28515625" style="1" customWidth="1"/>
    <col min="8" max="8" width="9.140625" style="1"/>
    <col min="9" max="9" width="10.42578125" style="18" customWidth="1"/>
    <col min="10" max="10" width="9.5703125" style="18" customWidth="1"/>
    <col min="11" max="11" width="13.28515625" style="1" bestFit="1" customWidth="1"/>
    <col min="12" max="12" width="9.140625" style="18"/>
    <col min="13" max="13" width="14" style="18" customWidth="1"/>
    <col min="14" max="14" width="15.5703125" style="18" bestFit="1" customWidth="1"/>
    <col min="15" max="16384" width="9.140625" style="18"/>
  </cols>
  <sheetData>
    <row r="1" spans="1:14" ht="24.75">
      <c r="A1" s="3" t="s">
        <v>171</v>
      </c>
      <c r="B1" s="3" t="s">
        <v>1</v>
      </c>
      <c r="C1" s="3" t="s">
        <v>172</v>
      </c>
      <c r="D1" s="3" t="s">
        <v>173</v>
      </c>
      <c r="E1" s="3" t="s">
        <v>174</v>
      </c>
      <c r="F1" s="370" t="s">
        <v>175</v>
      </c>
      <c r="G1" s="3" t="s">
        <v>176</v>
      </c>
      <c r="H1" s="4" t="s">
        <v>177</v>
      </c>
      <c r="I1" s="3" t="s">
        <v>178</v>
      </c>
      <c r="J1" s="4" t="s">
        <v>179</v>
      </c>
      <c r="K1" s="4" t="s">
        <v>180</v>
      </c>
      <c r="L1" s="3" t="s">
        <v>181</v>
      </c>
      <c r="M1" s="4" t="s">
        <v>182</v>
      </c>
      <c r="N1" s="41" t="s">
        <v>3</v>
      </c>
    </row>
    <row r="2" spans="1:14" ht="45.75" customHeight="1">
      <c r="A2" s="603" t="s">
        <v>95</v>
      </c>
      <c r="B2" s="604" t="str">
        <f>VLOOKUP(A2,Geral!$A$1:$D$36,2,FALSE)</f>
        <v>Legislação e Responsabilidade Profissional</v>
      </c>
      <c r="C2" s="605" t="s">
        <v>245</v>
      </c>
      <c r="D2" s="19" t="s">
        <v>217</v>
      </c>
      <c r="E2" s="20" t="s">
        <v>185</v>
      </c>
      <c r="F2" s="115"/>
      <c r="G2" s="99" t="s">
        <v>1569</v>
      </c>
      <c r="H2" s="21" t="s">
        <v>187</v>
      </c>
      <c r="I2" s="9" t="s">
        <v>188</v>
      </c>
      <c r="J2" s="10" t="s">
        <v>187</v>
      </c>
      <c r="K2" s="155" t="s">
        <v>1570</v>
      </c>
      <c r="L2" s="81">
        <v>1.1921296296296296E-3</v>
      </c>
      <c r="M2" s="548" t="str">
        <f>VLOOKUP(A2,Geral!$A$1:$D$36,3,FALSE)</f>
        <v>Juliana Novi</v>
      </c>
      <c r="N2" s="583" t="str">
        <f>VLOOKUP(A2,Geral!$A$1:$D$36,4,FALSE)</f>
        <v>Fábio</v>
      </c>
    </row>
    <row r="3" spans="1:14">
      <c r="A3" s="538"/>
      <c r="B3" s="564"/>
      <c r="C3" s="536"/>
      <c r="D3" s="19" t="s">
        <v>184</v>
      </c>
      <c r="E3" s="115" t="s">
        <v>1571</v>
      </c>
      <c r="F3" s="116"/>
      <c r="G3" s="99" t="s">
        <v>1572</v>
      </c>
      <c r="H3" s="21" t="s">
        <v>187</v>
      </c>
      <c r="I3" s="9" t="s">
        <v>188</v>
      </c>
      <c r="J3" s="10" t="s">
        <v>187</v>
      </c>
      <c r="K3" s="155" t="s">
        <v>1573</v>
      </c>
      <c r="L3" s="81">
        <v>1.4386574074074074E-2</v>
      </c>
      <c r="M3" s="543"/>
      <c r="N3" s="583"/>
    </row>
    <row r="4" spans="1:14">
      <c r="A4" s="538"/>
      <c r="B4" s="564"/>
      <c r="C4" s="160" t="s">
        <v>256</v>
      </c>
      <c r="D4" s="19" t="s">
        <v>190</v>
      </c>
      <c r="E4" s="115" t="s">
        <v>1574</v>
      </c>
      <c r="F4" s="116" t="s">
        <v>1575</v>
      </c>
      <c r="G4" s="99" t="s">
        <v>1576</v>
      </c>
      <c r="H4" s="21" t="s">
        <v>187</v>
      </c>
      <c r="I4" s="9" t="s">
        <v>188</v>
      </c>
      <c r="J4" s="10" t="s">
        <v>187</v>
      </c>
      <c r="K4" s="326" t="s">
        <v>1577</v>
      </c>
      <c r="L4" s="81">
        <v>1.4930555555555556E-2</v>
      </c>
      <c r="M4" s="543"/>
      <c r="N4" s="583"/>
    </row>
    <row r="5" spans="1:14">
      <c r="A5" s="538"/>
      <c r="B5" s="564"/>
      <c r="C5" s="160" t="s">
        <v>266</v>
      </c>
      <c r="D5" s="19" t="s">
        <v>195</v>
      </c>
      <c r="E5" s="115" t="s">
        <v>1578</v>
      </c>
      <c r="F5" s="116"/>
      <c r="G5" s="99" t="s">
        <v>1579</v>
      </c>
      <c r="H5" s="21" t="s">
        <v>187</v>
      </c>
      <c r="I5" s="9" t="s">
        <v>188</v>
      </c>
      <c r="J5" s="10" t="s">
        <v>187</v>
      </c>
      <c r="K5" s="326" t="s">
        <v>1580</v>
      </c>
      <c r="L5" s="81">
        <v>1.3113425925925926E-2</v>
      </c>
      <c r="M5" s="543"/>
      <c r="N5" s="583"/>
    </row>
    <row r="6" spans="1:14">
      <c r="A6" s="538"/>
      <c r="B6" s="564"/>
      <c r="C6" s="160" t="s">
        <v>278</v>
      </c>
      <c r="D6" s="19" t="s">
        <v>199</v>
      </c>
      <c r="E6" s="115" t="s">
        <v>1581</v>
      </c>
      <c r="F6" s="117"/>
      <c r="G6" s="99" t="s">
        <v>1582</v>
      </c>
      <c r="H6" s="21" t="s">
        <v>187</v>
      </c>
      <c r="I6" s="9" t="s">
        <v>188</v>
      </c>
      <c r="J6" s="28" t="s">
        <v>187</v>
      </c>
      <c r="K6" s="155" t="s">
        <v>1583</v>
      </c>
      <c r="L6" s="81">
        <v>1.4143518518518519E-2</v>
      </c>
      <c r="M6" s="543"/>
      <c r="N6" s="583"/>
    </row>
    <row r="7" spans="1:14">
      <c r="A7" s="538"/>
      <c r="B7" s="564"/>
      <c r="C7" s="160" t="s">
        <v>291</v>
      </c>
      <c r="D7" s="19" t="s">
        <v>204</v>
      </c>
      <c r="E7" s="115" t="s">
        <v>1584</v>
      </c>
      <c r="F7" s="117"/>
      <c r="G7" s="99" t="s">
        <v>1585</v>
      </c>
      <c r="H7" s="21" t="s">
        <v>187</v>
      </c>
      <c r="I7" s="9" t="s">
        <v>188</v>
      </c>
      <c r="J7" s="28" t="s">
        <v>187</v>
      </c>
      <c r="K7" s="155" t="s">
        <v>1586</v>
      </c>
      <c r="L7" s="81">
        <v>1.480324074074074E-2</v>
      </c>
      <c r="M7" s="543"/>
      <c r="N7" s="583"/>
    </row>
    <row r="8" spans="1:14">
      <c r="A8" s="538"/>
      <c r="B8" s="564"/>
      <c r="C8" s="160" t="s">
        <v>305</v>
      </c>
      <c r="D8" s="19" t="s">
        <v>208</v>
      </c>
      <c r="E8" s="115" t="s">
        <v>1587</v>
      </c>
      <c r="F8" s="117"/>
      <c r="G8" s="99" t="s">
        <v>1588</v>
      </c>
      <c r="H8" s="21" t="s">
        <v>187</v>
      </c>
      <c r="I8" s="9" t="s">
        <v>188</v>
      </c>
      <c r="J8" s="29" t="s">
        <v>187</v>
      </c>
      <c r="K8" s="155" t="s">
        <v>1589</v>
      </c>
      <c r="L8" s="81">
        <v>1.193287037037037E-2</v>
      </c>
      <c r="M8" s="543"/>
      <c r="N8" s="583"/>
    </row>
    <row r="9" spans="1:14">
      <c r="A9" s="538"/>
      <c r="B9" s="564"/>
      <c r="C9" s="160" t="s">
        <v>365</v>
      </c>
      <c r="D9" s="19" t="s">
        <v>213</v>
      </c>
      <c r="E9" s="115" t="s">
        <v>1590</v>
      </c>
      <c r="F9" s="117"/>
      <c r="G9" s="99" t="s">
        <v>1591</v>
      </c>
      <c r="H9" s="21" t="s">
        <v>187</v>
      </c>
      <c r="I9" s="9" t="s">
        <v>188</v>
      </c>
      <c r="J9" s="29" t="s">
        <v>187</v>
      </c>
      <c r="K9" s="155" t="s">
        <v>1592</v>
      </c>
      <c r="L9" s="81">
        <v>1.5381944444444445E-2</v>
      </c>
      <c r="M9" s="543"/>
      <c r="N9" s="583"/>
    </row>
    <row r="10" spans="1:14">
      <c r="A10" s="13"/>
      <c r="B10" s="14"/>
      <c r="C10" s="15"/>
      <c r="D10" s="15"/>
      <c r="E10" s="16"/>
      <c r="F10" s="371"/>
      <c r="G10" s="17"/>
      <c r="H10" s="15"/>
      <c r="I10" s="15"/>
      <c r="J10" s="16"/>
      <c r="K10" s="16"/>
      <c r="L10" s="16"/>
      <c r="M10" s="15"/>
      <c r="N10" s="15"/>
    </row>
    <row r="11" spans="1:14" ht="36.75" customHeight="1">
      <c r="A11" s="551" t="s">
        <v>99</v>
      </c>
      <c r="B11" s="580" t="str">
        <f>VLOOKUP(A11,Geral!$A$1:$D$36,2,FALSE)</f>
        <v>Educação de Jovens e Adultos</v>
      </c>
      <c r="C11" s="535" t="s">
        <v>245</v>
      </c>
      <c r="D11" s="19" t="s">
        <v>217</v>
      </c>
      <c r="E11" s="20" t="s">
        <v>185</v>
      </c>
      <c r="G11" s="99" t="s">
        <v>1593</v>
      </c>
      <c r="H11" s="82" t="s">
        <v>187</v>
      </c>
      <c r="I11" s="9" t="s">
        <v>188</v>
      </c>
      <c r="J11" s="29" t="s">
        <v>187</v>
      </c>
      <c r="K11" s="344" t="s">
        <v>1594</v>
      </c>
      <c r="L11" s="606" t="str">
        <f>VLOOKUP(A11,Geral!$A$1:$D$36,3,FALSE)</f>
        <v>Adriana Batista de Souza Koide</v>
      </c>
      <c r="M11" s="509">
        <v>3.472222222222222E-3</v>
      </c>
      <c r="N11" s="572" t="str">
        <f>VLOOKUP(A11,Geral!$A$1:$D$36,4,FALSE)</f>
        <v>Juliana</v>
      </c>
    </row>
    <row r="12" spans="1:14" ht="36.75" customHeight="1">
      <c r="A12" s="552"/>
      <c r="B12" s="581"/>
      <c r="C12" s="536"/>
      <c r="D12" s="22" t="s">
        <v>184</v>
      </c>
      <c r="E12" s="20" t="s">
        <v>1595</v>
      </c>
      <c r="F12" s="115" t="s">
        <v>1596</v>
      </c>
      <c r="G12" s="504" t="s">
        <v>1597</v>
      </c>
      <c r="H12" s="82" t="s">
        <v>187</v>
      </c>
      <c r="I12" s="9" t="s">
        <v>188</v>
      </c>
      <c r="J12" s="29" t="s">
        <v>187</v>
      </c>
      <c r="K12" s="344" t="s">
        <v>1598</v>
      </c>
      <c r="L12" s="606"/>
      <c r="M12" s="509">
        <v>7.858796296296296E-3</v>
      </c>
      <c r="N12" s="572"/>
    </row>
    <row r="13" spans="1:14" ht="36.75" customHeight="1">
      <c r="A13" s="552"/>
      <c r="B13" s="581"/>
      <c r="C13" s="536"/>
      <c r="D13" s="22" t="s">
        <v>190</v>
      </c>
      <c r="E13" s="159" t="s">
        <v>1599</v>
      </c>
      <c r="F13" s="116" t="s">
        <v>1600</v>
      </c>
      <c r="G13" s="486" t="s">
        <v>1601</v>
      </c>
      <c r="H13" s="82" t="s">
        <v>187</v>
      </c>
      <c r="I13" s="9" t="s">
        <v>188</v>
      </c>
      <c r="J13" s="29" t="s">
        <v>187</v>
      </c>
      <c r="K13" s="344" t="s">
        <v>1602</v>
      </c>
      <c r="L13" s="606"/>
      <c r="M13" s="509">
        <v>9.2129629629629627E-3</v>
      </c>
      <c r="N13" s="572"/>
    </row>
    <row r="14" spans="1:14" ht="36.75" customHeight="1">
      <c r="A14" s="552"/>
      <c r="B14" s="581"/>
      <c r="C14" s="536" t="s">
        <v>256</v>
      </c>
      <c r="D14" s="22" t="s">
        <v>195</v>
      </c>
      <c r="E14" s="115" t="s">
        <v>1603</v>
      </c>
      <c r="F14" s="116" t="s">
        <v>1604</v>
      </c>
      <c r="G14" s="99" t="s">
        <v>1605</v>
      </c>
      <c r="H14" s="82" t="s">
        <v>187</v>
      </c>
      <c r="I14" s="9" t="s">
        <v>188</v>
      </c>
      <c r="J14" s="29" t="s">
        <v>187</v>
      </c>
      <c r="K14" s="329" t="s">
        <v>1606</v>
      </c>
      <c r="L14" s="606"/>
      <c r="M14" s="509">
        <v>7.8819444444444449E-3</v>
      </c>
      <c r="N14" s="572"/>
    </row>
    <row r="15" spans="1:14" ht="36.75" customHeight="1">
      <c r="A15" s="552"/>
      <c r="B15" s="581"/>
      <c r="C15" s="536"/>
      <c r="D15" s="19" t="s">
        <v>199</v>
      </c>
      <c r="E15" s="32" t="s">
        <v>1607</v>
      </c>
      <c r="F15" s="116" t="s">
        <v>1608</v>
      </c>
      <c r="G15" s="99" t="s">
        <v>1609</v>
      </c>
      <c r="H15" s="82" t="s">
        <v>187</v>
      </c>
      <c r="I15" s="9" t="s">
        <v>188</v>
      </c>
      <c r="J15" s="29" t="s">
        <v>187</v>
      </c>
      <c r="K15" s="155" t="s">
        <v>1610</v>
      </c>
      <c r="L15" s="606"/>
      <c r="M15" s="509">
        <v>8.4606481481481477E-3</v>
      </c>
      <c r="N15" s="572"/>
    </row>
    <row r="16" spans="1:14" ht="36.75" customHeight="1">
      <c r="A16" s="552"/>
      <c r="B16" s="581"/>
      <c r="C16" s="536" t="s">
        <v>266</v>
      </c>
      <c r="D16" s="19" t="s">
        <v>204</v>
      </c>
      <c r="E16" s="26" t="s">
        <v>1611</v>
      </c>
      <c r="F16" s="117" t="s">
        <v>1612</v>
      </c>
      <c r="G16" s="486" t="s">
        <v>1613</v>
      </c>
      <c r="H16" s="82" t="s">
        <v>187</v>
      </c>
      <c r="I16" s="9" t="s">
        <v>188</v>
      </c>
      <c r="J16" s="29" t="s">
        <v>187</v>
      </c>
      <c r="K16" s="344" t="s">
        <v>1614</v>
      </c>
      <c r="L16" s="606"/>
      <c r="M16" s="509">
        <v>6.9560185185185185E-3</v>
      </c>
      <c r="N16" s="572"/>
    </row>
    <row r="17" spans="1:14" ht="36.75" customHeight="1">
      <c r="A17" s="552"/>
      <c r="B17" s="581"/>
      <c r="C17" s="536"/>
      <c r="D17" s="19" t="s">
        <v>208</v>
      </c>
      <c r="E17" s="26" t="s">
        <v>1615</v>
      </c>
      <c r="F17" s="117" t="s">
        <v>1616</v>
      </c>
      <c r="G17" s="99" t="s">
        <v>1617</v>
      </c>
      <c r="H17" s="82" t="s">
        <v>187</v>
      </c>
      <c r="I17" s="9" t="s">
        <v>188</v>
      </c>
      <c r="J17" s="29" t="s">
        <v>187</v>
      </c>
      <c r="K17" s="155" t="s">
        <v>1618</v>
      </c>
      <c r="L17" s="606"/>
      <c r="M17" s="509">
        <v>1.0150462962962964E-2</v>
      </c>
      <c r="N17" s="572"/>
    </row>
    <row r="18" spans="1:14" ht="36.75" customHeight="1">
      <c r="A18" s="552"/>
      <c r="B18" s="581"/>
      <c r="C18" s="536"/>
      <c r="D18" s="19" t="s">
        <v>1619</v>
      </c>
      <c r="E18" s="31" t="s">
        <v>1620</v>
      </c>
      <c r="F18" s="117" t="s">
        <v>1621</v>
      </c>
      <c r="G18" s="99" t="s">
        <v>1622</v>
      </c>
      <c r="H18" s="82" t="s">
        <v>187</v>
      </c>
      <c r="I18" s="9" t="s">
        <v>188</v>
      </c>
      <c r="J18" s="29" t="s">
        <v>187</v>
      </c>
      <c r="K18" s="155" t="s">
        <v>1623</v>
      </c>
      <c r="L18" s="606"/>
      <c r="M18" s="509">
        <v>5.9027777777777776E-3</v>
      </c>
      <c r="N18" s="572"/>
    </row>
    <row r="19" spans="1:14" ht="36.75" customHeight="1">
      <c r="A19" s="552"/>
      <c r="B19" s="581"/>
      <c r="C19" s="160" t="s">
        <v>278</v>
      </c>
      <c r="D19" s="19" t="s">
        <v>270</v>
      </c>
      <c r="E19" s="31" t="s">
        <v>1624</v>
      </c>
      <c r="F19" s="31" t="s">
        <v>1625</v>
      </c>
      <c r="G19" s="99" t="s">
        <v>1626</v>
      </c>
      <c r="H19" s="82" t="s">
        <v>187</v>
      </c>
      <c r="I19" s="9" t="s">
        <v>188</v>
      </c>
      <c r="J19" s="29" t="s">
        <v>187</v>
      </c>
      <c r="K19" s="155" t="s">
        <v>1627</v>
      </c>
      <c r="L19" s="606"/>
      <c r="M19" s="509">
        <v>9.2592592592592587E-3</v>
      </c>
      <c r="N19" s="572"/>
    </row>
    <row r="20" spans="1:14" ht="36.75" customHeight="1">
      <c r="A20" s="552"/>
      <c r="B20" s="581"/>
      <c r="C20" s="160"/>
      <c r="D20" s="19" t="s">
        <v>274</v>
      </c>
      <c r="E20" s="32" t="s">
        <v>1628</v>
      </c>
      <c r="F20" s="117" t="s">
        <v>1629</v>
      </c>
      <c r="G20" s="99" t="s">
        <v>1630</v>
      </c>
      <c r="H20" s="82" t="s">
        <v>187</v>
      </c>
      <c r="I20" s="9" t="s">
        <v>188</v>
      </c>
      <c r="J20" s="29" t="s">
        <v>187</v>
      </c>
      <c r="K20" s="155" t="s">
        <v>1631</v>
      </c>
      <c r="L20" s="606"/>
      <c r="M20" s="509">
        <v>1.2164351851851852E-2</v>
      </c>
      <c r="N20" s="572"/>
    </row>
    <row r="21" spans="1:14" ht="36.75" customHeight="1">
      <c r="A21" s="552"/>
      <c r="B21" s="581"/>
      <c r="C21" s="160"/>
      <c r="D21" s="19" t="s">
        <v>279</v>
      </c>
      <c r="E21" s="32" t="s">
        <v>1632</v>
      </c>
      <c r="F21" s="117" t="s">
        <v>1633</v>
      </c>
      <c r="G21" s="99" t="s">
        <v>1634</v>
      </c>
      <c r="H21" s="82" t="s">
        <v>187</v>
      </c>
      <c r="I21" s="9" t="s">
        <v>188</v>
      </c>
      <c r="J21" s="29" t="s">
        <v>187</v>
      </c>
      <c r="K21" s="155" t="s">
        <v>1635</v>
      </c>
      <c r="L21" s="606"/>
      <c r="M21" s="509">
        <v>1.1643518518518518E-2</v>
      </c>
      <c r="N21" s="572"/>
    </row>
    <row r="22" spans="1:14" ht="36.75" customHeight="1">
      <c r="A22" s="552"/>
      <c r="B22" s="581"/>
      <c r="C22" s="160" t="s">
        <v>291</v>
      </c>
      <c r="D22" s="19" t="s">
        <v>283</v>
      </c>
      <c r="E22" s="32" t="s">
        <v>1636</v>
      </c>
      <c r="F22" s="117" t="s">
        <v>1637</v>
      </c>
      <c r="G22" s="99" t="s">
        <v>1638</v>
      </c>
      <c r="H22" s="82" t="s">
        <v>187</v>
      </c>
      <c r="I22" s="9" t="s">
        <v>188</v>
      </c>
      <c r="J22" s="29" t="s">
        <v>187</v>
      </c>
      <c r="K22" s="155" t="s">
        <v>1639</v>
      </c>
      <c r="L22" s="606"/>
      <c r="M22" s="509">
        <v>1.556712962962963E-2</v>
      </c>
      <c r="N22" s="572"/>
    </row>
    <row r="23" spans="1:14" ht="36.75" customHeight="1">
      <c r="A23" s="552"/>
      <c r="B23" s="581"/>
      <c r="C23" s="160"/>
      <c r="D23" s="19" t="s">
        <v>287</v>
      </c>
      <c r="E23" s="31" t="s">
        <v>1640</v>
      </c>
      <c r="F23" s="31" t="s">
        <v>1641</v>
      </c>
      <c r="G23" s="99" t="s">
        <v>1642</v>
      </c>
      <c r="H23" s="82" t="s">
        <v>187</v>
      </c>
      <c r="I23" s="9" t="s">
        <v>188</v>
      </c>
      <c r="J23" s="29" t="s">
        <v>187</v>
      </c>
      <c r="K23" s="155" t="s">
        <v>1643</v>
      </c>
      <c r="L23" s="606"/>
      <c r="M23" s="509">
        <v>1.2766203703703703E-2</v>
      </c>
      <c r="N23" s="572"/>
    </row>
    <row r="24" spans="1:14" ht="36.75" customHeight="1">
      <c r="A24" s="552"/>
      <c r="B24" s="581"/>
      <c r="C24" s="160"/>
      <c r="D24" s="19" t="s">
        <v>292</v>
      </c>
      <c r="E24" s="31" t="s">
        <v>1644</v>
      </c>
      <c r="F24" s="31" t="s">
        <v>1645</v>
      </c>
      <c r="G24" s="99" t="s">
        <v>1646</v>
      </c>
      <c r="H24" s="82" t="s">
        <v>187</v>
      </c>
      <c r="I24" s="9" t="s">
        <v>188</v>
      </c>
      <c r="J24" s="29" t="s">
        <v>187</v>
      </c>
      <c r="K24" s="155" t="s">
        <v>1647</v>
      </c>
      <c r="L24" s="606"/>
      <c r="M24" s="509">
        <v>1.755787037037037E-2</v>
      </c>
      <c r="N24" s="572"/>
    </row>
    <row r="25" spans="1:14" ht="36.75" customHeight="1">
      <c r="A25" s="552"/>
      <c r="B25" s="581"/>
      <c r="C25" s="363" t="s">
        <v>305</v>
      </c>
      <c r="D25" s="19" t="s">
        <v>297</v>
      </c>
      <c r="E25" s="31" t="s">
        <v>1648</v>
      </c>
      <c r="F25" s="117"/>
      <c r="G25" s="99" t="s">
        <v>1649</v>
      </c>
      <c r="H25" s="82" t="s">
        <v>187</v>
      </c>
      <c r="I25" s="9" t="s">
        <v>188</v>
      </c>
      <c r="J25" s="29" t="s">
        <v>187</v>
      </c>
      <c r="K25" s="155" t="s">
        <v>1650</v>
      </c>
      <c r="L25" s="606"/>
      <c r="M25" s="509">
        <v>1.4525462962962962E-2</v>
      </c>
      <c r="N25" s="572"/>
    </row>
    <row r="26" spans="1:14" ht="36.75" customHeight="1">
      <c r="A26" s="552"/>
      <c r="B26" s="581"/>
      <c r="C26" s="364"/>
      <c r="D26" s="19" t="s">
        <v>301</v>
      </c>
      <c r="E26" s="31" t="s">
        <v>1651</v>
      </c>
      <c r="F26" s="372"/>
      <c r="G26" s="99" t="s">
        <v>1652</v>
      </c>
      <c r="H26" s="82" t="s">
        <v>187</v>
      </c>
      <c r="I26" s="9" t="s">
        <v>188</v>
      </c>
      <c r="J26" s="29" t="s">
        <v>187</v>
      </c>
      <c r="K26" s="155" t="s">
        <v>1653</v>
      </c>
      <c r="L26" s="606"/>
      <c r="M26" s="509">
        <v>1.4224537037037037E-2</v>
      </c>
      <c r="N26" s="572"/>
    </row>
    <row r="27" spans="1:14" ht="36.75" customHeight="1">
      <c r="A27" s="552"/>
      <c r="B27" s="581"/>
      <c r="C27" s="363" t="s">
        <v>365</v>
      </c>
      <c r="D27" s="19" t="s">
        <v>306</v>
      </c>
      <c r="E27" s="31" t="s">
        <v>1654</v>
      </c>
      <c r="F27" s="372"/>
      <c r="G27" s="99" t="s">
        <v>1655</v>
      </c>
      <c r="H27" s="82" t="s">
        <v>187</v>
      </c>
      <c r="I27" s="9" t="s">
        <v>188</v>
      </c>
      <c r="J27" s="29" t="s">
        <v>187</v>
      </c>
      <c r="K27" s="155" t="s">
        <v>1656</v>
      </c>
      <c r="L27" s="606"/>
      <c r="M27" s="509">
        <v>8.4837962962962966E-3</v>
      </c>
      <c r="N27" s="572"/>
    </row>
    <row r="28" spans="1:14" ht="36.75" customHeight="1">
      <c r="A28" s="552"/>
      <c r="B28" s="581"/>
      <c r="C28" s="160"/>
      <c r="D28" s="19" t="s">
        <v>425</v>
      </c>
      <c r="E28" s="329" t="s">
        <v>1657</v>
      </c>
      <c r="F28" s="373"/>
      <c r="G28" s="99" t="s">
        <v>1658</v>
      </c>
      <c r="H28" s="82" t="s">
        <v>187</v>
      </c>
      <c r="I28" s="9" t="s">
        <v>188</v>
      </c>
      <c r="J28" s="29" t="s">
        <v>187</v>
      </c>
      <c r="K28" s="155" t="s">
        <v>1659</v>
      </c>
      <c r="L28" s="606"/>
      <c r="M28" s="509">
        <v>1.0219907407407407E-2</v>
      </c>
      <c r="N28" s="572"/>
    </row>
    <row r="29" spans="1:14" ht="36.75" customHeight="1">
      <c r="A29" s="552"/>
      <c r="B29" s="581"/>
      <c r="C29" s="342"/>
      <c r="D29" s="316" t="s">
        <v>429</v>
      </c>
      <c r="E29" s="31" t="s">
        <v>1660</v>
      </c>
      <c r="F29" s="373"/>
      <c r="G29" s="99" t="s">
        <v>1661</v>
      </c>
      <c r="H29" s="343"/>
      <c r="I29" s="9" t="s">
        <v>188</v>
      </c>
      <c r="J29" s="29" t="s">
        <v>187</v>
      </c>
      <c r="K29" s="523" t="s">
        <v>1662</v>
      </c>
      <c r="L29" s="606"/>
      <c r="M29" s="509">
        <v>1.0462962962962962E-2</v>
      </c>
      <c r="N29" s="572"/>
    </row>
    <row r="30" spans="1:14">
      <c r="A30" s="13"/>
      <c r="B30" s="14"/>
      <c r="C30" s="15"/>
      <c r="D30" s="15"/>
      <c r="E30" s="16"/>
      <c r="F30" s="371"/>
      <c r="G30" s="17"/>
      <c r="H30" s="15"/>
      <c r="I30" s="15"/>
      <c r="J30" s="16"/>
      <c r="K30" s="16"/>
      <c r="L30" s="508"/>
      <c r="M30" s="15"/>
      <c r="N30" s="15"/>
    </row>
    <row r="31" spans="1:14" ht="33.75" customHeight="1">
      <c r="A31" s="537" t="s">
        <v>102</v>
      </c>
      <c r="B31" s="563" t="str">
        <f>VLOOKUP(A31,Geral!$A$1:$D$36,2,FALSE)</f>
        <v>Gestão de Sistemas de Informação</v>
      </c>
      <c r="C31" s="533" t="s">
        <v>245</v>
      </c>
      <c r="D31" s="19" t="s">
        <v>217</v>
      </c>
      <c r="E31" s="20" t="s">
        <v>185</v>
      </c>
      <c r="F31" s="115"/>
      <c r="G31" s="486" t="s">
        <v>1663</v>
      </c>
      <c r="H31" s="21" t="s">
        <v>1664</v>
      </c>
      <c r="I31" s="9" t="s">
        <v>188</v>
      </c>
      <c r="J31" s="10" t="s">
        <v>187</v>
      </c>
      <c r="K31" s="110" t="s">
        <v>1665</v>
      </c>
      <c r="L31" s="81">
        <v>1.6782407407407408E-3</v>
      </c>
      <c r="M31" s="548" t="str">
        <f>VLOOKUP(A31,Geral!$A$1:$D$36,3,FALSE)</f>
        <v>Antonio Francisco Savi</v>
      </c>
      <c r="N31" s="583" t="str">
        <f>VLOOKUP(A31,Geral!$A$1:$D$36,4,FALSE)</f>
        <v>Daniel</v>
      </c>
    </row>
    <row r="32" spans="1:14" ht="33.75" customHeight="1">
      <c r="A32" s="538"/>
      <c r="B32" s="564"/>
      <c r="C32" s="532"/>
      <c r="D32" s="22" t="s">
        <v>184</v>
      </c>
      <c r="E32" s="31" t="s">
        <v>1666</v>
      </c>
      <c r="F32" s="116"/>
      <c r="G32" s="486" t="s">
        <v>1667</v>
      </c>
      <c r="H32" s="21" t="s">
        <v>1664</v>
      </c>
      <c r="I32" s="9" t="s">
        <v>188</v>
      </c>
      <c r="J32" s="10" t="s">
        <v>187</v>
      </c>
      <c r="K32" s="485" t="s">
        <v>1668</v>
      </c>
      <c r="L32" s="83">
        <v>8.2986111111111108E-3</v>
      </c>
      <c r="M32" s="543"/>
      <c r="N32" s="583"/>
    </row>
    <row r="33" spans="1:14" ht="33.75" customHeight="1">
      <c r="A33" s="538"/>
      <c r="B33" s="564"/>
      <c r="C33" s="532"/>
      <c r="D33" s="22" t="s">
        <v>190</v>
      </c>
      <c r="E33" s="31" t="s">
        <v>1669</v>
      </c>
      <c r="F33" s="116"/>
      <c r="G33" s="486" t="s">
        <v>1670</v>
      </c>
      <c r="H33" s="21" t="s">
        <v>1664</v>
      </c>
      <c r="I33" s="9" t="s">
        <v>188</v>
      </c>
      <c r="J33" s="10" t="s">
        <v>187</v>
      </c>
      <c r="K33" s="110" t="s">
        <v>1671</v>
      </c>
      <c r="L33" s="83">
        <v>1.2650462962962962E-2</v>
      </c>
      <c r="M33" s="543"/>
      <c r="N33" s="583"/>
    </row>
    <row r="34" spans="1:14" ht="33.75" customHeight="1">
      <c r="A34" s="538"/>
      <c r="B34" s="564"/>
      <c r="C34" s="532"/>
      <c r="D34" s="22" t="s">
        <v>195</v>
      </c>
      <c r="E34" s="31" t="s">
        <v>1672</v>
      </c>
      <c r="F34" s="116"/>
      <c r="G34" s="486" t="s">
        <v>1673</v>
      </c>
      <c r="H34" s="21" t="s">
        <v>1664</v>
      </c>
      <c r="I34" s="9" t="s">
        <v>188</v>
      </c>
      <c r="J34" s="10" t="s">
        <v>187</v>
      </c>
      <c r="K34" s="110" t="s">
        <v>1674</v>
      </c>
      <c r="L34" s="83">
        <v>8.7037037037037031E-3</v>
      </c>
      <c r="M34" s="543"/>
      <c r="N34" s="583"/>
    </row>
    <row r="35" spans="1:14" ht="33.75" customHeight="1">
      <c r="A35" s="538"/>
      <c r="B35" s="564"/>
      <c r="C35" s="532" t="s">
        <v>256</v>
      </c>
      <c r="D35" s="19" t="s">
        <v>199</v>
      </c>
      <c r="E35" s="31" t="s">
        <v>1675</v>
      </c>
      <c r="F35" s="117"/>
      <c r="G35" s="486" t="s">
        <v>1676</v>
      </c>
      <c r="H35" s="21" t="s">
        <v>1664</v>
      </c>
      <c r="I35" s="9" t="s">
        <v>188</v>
      </c>
      <c r="J35" s="28" t="s">
        <v>187</v>
      </c>
      <c r="K35" s="110" t="s">
        <v>1677</v>
      </c>
      <c r="L35" s="83">
        <v>1.0069444444444445E-2</v>
      </c>
      <c r="M35" s="543"/>
      <c r="N35" s="583"/>
    </row>
    <row r="36" spans="1:14" ht="33.75" customHeight="1">
      <c r="A36" s="538"/>
      <c r="B36" s="564"/>
      <c r="C36" s="532"/>
      <c r="D36" s="19" t="s">
        <v>204</v>
      </c>
      <c r="E36" s="31" t="s">
        <v>1678</v>
      </c>
      <c r="F36" s="117"/>
      <c r="G36" s="486" t="s">
        <v>1679</v>
      </c>
      <c r="H36" s="21" t="s">
        <v>1664</v>
      </c>
      <c r="I36" s="9" t="s">
        <v>188</v>
      </c>
      <c r="J36" s="28" t="s">
        <v>187</v>
      </c>
      <c r="K36" s="110" t="s">
        <v>1680</v>
      </c>
      <c r="L36" s="83">
        <v>1.511574074074074E-2</v>
      </c>
      <c r="M36" s="543"/>
      <c r="N36" s="583"/>
    </row>
    <row r="37" spans="1:14" ht="33.75" customHeight="1">
      <c r="A37" s="538"/>
      <c r="B37" s="564"/>
      <c r="C37" s="532"/>
      <c r="D37" s="19" t="s">
        <v>208</v>
      </c>
      <c r="E37" s="31" t="s">
        <v>1681</v>
      </c>
      <c r="F37" s="117"/>
      <c r="G37" s="486" t="s">
        <v>1682</v>
      </c>
      <c r="H37" s="21" t="s">
        <v>1664</v>
      </c>
      <c r="I37" s="9" t="s">
        <v>188</v>
      </c>
      <c r="J37" s="29" t="s">
        <v>187</v>
      </c>
      <c r="K37" s="110" t="s">
        <v>1683</v>
      </c>
      <c r="L37" s="83">
        <v>8.564814814814815E-3</v>
      </c>
      <c r="M37" s="543"/>
      <c r="N37" s="583"/>
    </row>
    <row r="38" spans="1:14" ht="33.75" customHeight="1">
      <c r="A38" s="538"/>
      <c r="B38" s="564"/>
      <c r="C38" s="532" t="s">
        <v>266</v>
      </c>
      <c r="D38" s="19" t="s">
        <v>213</v>
      </c>
      <c r="E38" s="31" t="s">
        <v>1684</v>
      </c>
      <c r="F38" s="31"/>
      <c r="G38" s="486" t="s">
        <v>1685</v>
      </c>
      <c r="H38" s="21" t="s">
        <v>1664</v>
      </c>
      <c r="I38" s="9" t="s">
        <v>188</v>
      </c>
      <c r="J38" s="29" t="s">
        <v>187</v>
      </c>
      <c r="K38" s="110" t="s">
        <v>1686</v>
      </c>
      <c r="L38" s="83">
        <v>9.780092592592592E-3</v>
      </c>
      <c r="M38" s="543"/>
      <c r="N38" s="583"/>
    </row>
    <row r="39" spans="1:14" ht="33.75" customHeight="1">
      <c r="A39" s="538"/>
      <c r="B39" s="564"/>
      <c r="C39" s="532"/>
      <c r="D39" s="19" t="s">
        <v>270</v>
      </c>
      <c r="E39" s="31" t="s">
        <v>1687</v>
      </c>
      <c r="F39" s="31"/>
      <c r="G39" s="486" t="s">
        <v>1688</v>
      </c>
      <c r="H39" s="21" t="s">
        <v>1664</v>
      </c>
      <c r="I39" s="9" t="s">
        <v>188</v>
      </c>
      <c r="J39" s="29" t="s">
        <v>187</v>
      </c>
      <c r="K39" s="110" t="s">
        <v>1689</v>
      </c>
      <c r="L39" s="83">
        <v>8.9467592592592585E-3</v>
      </c>
      <c r="M39" s="543"/>
      <c r="N39" s="583"/>
    </row>
    <row r="40" spans="1:14" ht="33.75" customHeight="1">
      <c r="A40" s="538"/>
      <c r="B40" s="564"/>
      <c r="C40" s="532"/>
      <c r="D40" s="19" t="s">
        <v>274</v>
      </c>
      <c r="E40" s="31" t="s">
        <v>1690</v>
      </c>
      <c r="F40" s="117"/>
      <c r="G40" s="486" t="s">
        <v>1691</v>
      </c>
      <c r="H40" s="21" t="s">
        <v>1664</v>
      </c>
      <c r="I40" s="9" t="s">
        <v>188</v>
      </c>
      <c r="J40" s="28" t="s">
        <v>187</v>
      </c>
      <c r="K40" s="110" t="s">
        <v>1692</v>
      </c>
      <c r="L40" s="84">
        <v>1.050925925925926E-2</v>
      </c>
      <c r="M40" s="543"/>
      <c r="N40" s="583"/>
    </row>
    <row r="41" spans="1:14" ht="33.75" customHeight="1">
      <c r="A41" s="538"/>
      <c r="B41" s="564"/>
      <c r="C41" s="532" t="s">
        <v>278</v>
      </c>
      <c r="D41" s="19" t="s">
        <v>279</v>
      </c>
      <c r="E41" s="31" t="s">
        <v>1693</v>
      </c>
      <c r="F41" s="117"/>
      <c r="G41" s="512" t="s">
        <v>1694</v>
      </c>
      <c r="H41" s="21" t="s">
        <v>1664</v>
      </c>
      <c r="I41" s="9" t="s">
        <v>188</v>
      </c>
      <c r="J41" s="28" t="s">
        <v>187</v>
      </c>
      <c r="K41" s="110" t="s">
        <v>1695</v>
      </c>
      <c r="L41" s="83">
        <v>8.9004629629629625E-3</v>
      </c>
      <c r="M41" s="543"/>
      <c r="N41" s="583"/>
    </row>
    <row r="42" spans="1:14" ht="33.75" customHeight="1">
      <c r="A42" s="538"/>
      <c r="B42" s="564"/>
      <c r="C42" s="532"/>
      <c r="D42" s="19" t="s">
        <v>283</v>
      </c>
      <c r="E42" s="137" t="s">
        <v>1696</v>
      </c>
      <c r="F42" s="510"/>
      <c r="G42" s="511" t="s">
        <v>1697</v>
      </c>
      <c r="H42" s="21" t="s">
        <v>1664</v>
      </c>
      <c r="I42" s="9" t="s">
        <v>188</v>
      </c>
      <c r="J42" s="28" t="s">
        <v>187</v>
      </c>
      <c r="K42" s="110" t="s">
        <v>1698</v>
      </c>
      <c r="L42" s="83">
        <v>8.5532407407407415E-3</v>
      </c>
      <c r="M42" s="543"/>
      <c r="N42" s="583"/>
    </row>
    <row r="43" spans="1:14" ht="33.75" customHeight="1">
      <c r="A43" s="538"/>
      <c r="B43" s="564"/>
      <c r="C43" s="532"/>
      <c r="D43" s="19" t="s">
        <v>287</v>
      </c>
      <c r="E43" s="137" t="s">
        <v>1699</v>
      </c>
      <c r="F43" s="137"/>
      <c r="G43" s="511" t="s">
        <v>1700</v>
      </c>
      <c r="H43" s="21" t="s">
        <v>1664</v>
      </c>
      <c r="I43" s="9" t="s">
        <v>188</v>
      </c>
      <c r="J43" s="28" t="s">
        <v>187</v>
      </c>
      <c r="K43" s="110" t="s">
        <v>1701</v>
      </c>
      <c r="L43" s="83">
        <v>7.4652777777777781E-3</v>
      </c>
      <c r="M43" s="543"/>
      <c r="N43" s="583"/>
    </row>
    <row r="44" spans="1:14" ht="33.75" customHeight="1">
      <c r="A44" s="538"/>
      <c r="B44" s="564"/>
      <c r="C44" s="532" t="s">
        <v>291</v>
      </c>
      <c r="D44" s="19" t="s">
        <v>292</v>
      </c>
      <c r="E44" s="31" t="s">
        <v>1702</v>
      </c>
      <c r="F44" s="31"/>
      <c r="G44" s="486" t="s">
        <v>1703</v>
      </c>
      <c r="H44" s="21" t="s">
        <v>1664</v>
      </c>
      <c r="I44" s="9" t="s">
        <v>188</v>
      </c>
      <c r="J44" s="28" t="s">
        <v>187</v>
      </c>
      <c r="K44" s="110" t="s">
        <v>1704</v>
      </c>
      <c r="L44" s="83">
        <v>7.5694444444444446E-3</v>
      </c>
      <c r="M44" s="543"/>
      <c r="N44" s="583"/>
    </row>
    <row r="45" spans="1:14" ht="33.75" customHeight="1">
      <c r="A45" s="538"/>
      <c r="B45" s="564"/>
      <c r="C45" s="532"/>
      <c r="D45" s="19" t="s">
        <v>297</v>
      </c>
      <c r="E45" s="31" t="s">
        <v>1705</v>
      </c>
      <c r="F45" s="117"/>
      <c r="G45" s="486" t="s">
        <v>1706</v>
      </c>
      <c r="H45" s="21" t="s">
        <v>1664</v>
      </c>
      <c r="I45" s="9" t="s">
        <v>188</v>
      </c>
      <c r="J45" s="28" t="s">
        <v>187</v>
      </c>
      <c r="K45" s="110" t="s">
        <v>1707</v>
      </c>
      <c r="L45" s="83">
        <v>7.9166666666666673E-3</v>
      </c>
      <c r="M45" s="543"/>
      <c r="N45" s="583"/>
    </row>
    <row r="46" spans="1:14" ht="33.75" customHeight="1">
      <c r="A46" s="538"/>
      <c r="B46" s="564"/>
      <c r="C46" s="534"/>
      <c r="D46" s="19" t="s">
        <v>301</v>
      </c>
      <c r="E46" s="31" t="s">
        <v>1708</v>
      </c>
      <c r="F46" s="372"/>
      <c r="G46" s="486" t="s">
        <v>1709</v>
      </c>
      <c r="H46" s="21" t="s">
        <v>1664</v>
      </c>
      <c r="I46" s="9" t="s">
        <v>188</v>
      </c>
      <c r="J46" s="28" t="s">
        <v>187</v>
      </c>
      <c r="K46" s="110" t="s">
        <v>1710</v>
      </c>
      <c r="L46" s="83">
        <v>9.6412037037037039E-3</v>
      </c>
      <c r="M46" s="543"/>
      <c r="N46" s="583"/>
    </row>
    <row r="47" spans="1:14" ht="33.75" customHeight="1">
      <c r="A47" s="538"/>
      <c r="B47" s="564"/>
      <c r="C47" s="533" t="s">
        <v>305</v>
      </c>
      <c r="D47" s="19" t="s">
        <v>306</v>
      </c>
      <c r="E47" s="31" t="s">
        <v>1711</v>
      </c>
      <c r="F47" s="372"/>
      <c r="G47" s="486" t="s">
        <v>1712</v>
      </c>
      <c r="H47" s="21" t="s">
        <v>1664</v>
      </c>
      <c r="I47" s="9" t="s">
        <v>188</v>
      </c>
      <c r="J47" s="28" t="s">
        <v>187</v>
      </c>
      <c r="K47" s="110" t="s">
        <v>1713</v>
      </c>
      <c r="L47" s="83">
        <v>1.0150462962962964E-2</v>
      </c>
      <c r="M47" s="543"/>
      <c r="N47" s="583"/>
    </row>
    <row r="48" spans="1:14" ht="33.75" customHeight="1">
      <c r="A48" s="538"/>
      <c r="B48" s="564"/>
      <c r="C48" s="532"/>
      <c r="D48" s="19" t="s">
        <v>425</v>
      </c>
      <c r="E48" s="31" t="s">
        <v>1714</v>
      </c>
      <c r="F48" s="372"/>
      <c r="G48" s="486" t="s">
        <v>1715</v>
      </c>
      <c r="H48" s="21" t="s">
        <v>1664</v>
      </c>
      <c r="I48" s="9" t="s">
        <v>188</v>
      </c>
      <c r="J48" s="28" t="s">
        <v>187</v>
      </c>
      <c r="K48" s="110" t="s">
        <v>1716</v>
      </c>
      <c r="L48" s="83">
        <v>8.9814814814814809E-3</v>
      </c>
      <c r="M48" s="543"/>
      <c r="N48" s="583"/>
    </row>
    <row r="49" spans="1:14" ht="33.75" customHeight="1">
      <c r="A49" s="538"/>
      <c r="B49" s="564"/>
      <c r="C49" s="534"/>
      <c r="D49" s="19" t="s">
        <v>429</v>
      </c>
      <c r="E49" s="31" t="s">
        <v>1717</v>
      </c>
      <c r="F49" s="36"/>
      <c r="G49" s="486" t="s">
        <v>1718</v>
      </c>
      <c r="H49" s="21" t="s">
        <v>1664</v>
      </c>
      <c r="I49" s="9" t="s">
        <v>188</v>
      </c>
      <c r="J49" s="110" t="s">
        <v>187</v>
      </c>
      <c r="K49" s="110" t="s">
        <v>1719</v>
      </c>
      <c r="L49" s="83">
        <v>1.1030092592592593E-2</v>
      </c>
      <c r="M49" s="543"/>
      <c r="N49" s="583"/>
    </row>
    <row r="50" spans="1:14" ht="33.75" customHeight="1">
      <c r="A50" s="538"/>
      <c r="B50" s="564"/>
      <c r="C50" s="533" t="s">
        <v>365</v>
      </c>
      <c r="D50" s="19" t="s">
        <v>433</v>
      </c>
      <c r="E50" s="31" t="s">
        <v>1720</v>
      </c>
      <c r="F50" s="36"/>
      <c r="G50" s="486" t="s">
        <v>1721</v>
      </c>
      <c r="H50" s="21" t="s">
        <v>1664</v>
      </c>
      <c r="I50" s="9" t="s">
        <v>188</v>
      </c>
      <c r="J50" s="28" t="s">
        <v>187</v>
      </c>
      <c r="K50" s="110" t="s">
        <v>1722</v>
      </c>
      <c r="L50" s="83">
        <v>7.083333333333333E-3</v>
      </c>
      <c r="M50" s="543"/>
      <c r="N50" s="583"/>
    </row>
    <row r="51" spans="1:14" ht="33.75" customHeight="1">
      <c r="A51" s="538"/>
      <c r="B51" s="564"/>
      <c r="C51" s="532"/>
      <c r="D51" s="19" t="s">
        <v>437</v>
      </c>
      <c r="E51" s="31" t="s">
        <v>1723</v>
      </c>
      <c r="F51" s="36"/>
      <c r="G51" s="486" t="s">
        <v>1724</v>
      </c>
      <c r="H51" s="21" t="s">
        <v>1664</v>
      </c>
      <c r="I51" s="9" t="s">
        <v>188</v>
      </c>
      <c r="J51" s="28" t="s">
        <v>187</v>
      </c>
      <c r="K51" s="110" t="s">
        <v>1725</v>
      </c>
      <c r="L51" s="83">
        <v>6.898148148148148E-3</v>
      </c>
      <c r="M51" s="543"/>
      <c r="N51" s="583"/>
    </row>
    <row r="52" spans="1:14" ht="33.75" customHeight="1">
      <c r="A52" s="566"/>
      <c r="B52" s="570"/>
      <c r="C52" s="532"/>
      <c r="D52" s="19" t="s">
        <v>639</v>
      </c>
      <c r="E52" s="31" t="s">
        <v>1726</v>
      </c>
      <c r="F52" s="36"/>
      <c r="G52" s="486" t="s">
        <v>1727</v>
      </c>
      <c r="H52" s="21" t="s">
        <v>1664</v>
      </c>
      <c r="I52" s="9" t="s">
        <v>188</v>
      </c>
      <c r="J52" s="28" t="s">
        <v>187</v>
      </c>
      <c r="K52" s="110" t="s">
        <v>1728</v>
      </c>
      <c r="L52" s="83">
        <v>7.3148148148148148E-3</v>
      </c>
      <c r="M52" s="569"/>
      <c r="N52" s="583"/>
    </row>
    <row r="53" spans="1:14" ht="33.75" customHeight="1">
      <c r="A53" s="13"/>
      <c r="B53" s="14"/>
      <c r="C53" s="15"/>
      <c r="D53" s="15"/>
      <c r="E53" s="16"/>
      <c r="F53" s="371"/>
      <c r="G53" s="17"/>
      <c r="H53" s="15"/>
      <c r="I53" s="15"/>
      <c r="J53" s="16"/>
      <c r="K53" s="16"/>
      <c r="L53" s="16"/>
      <c r="M53" s="15"/>
      <c r="N53" s="15"/>
    </row>
    <row r="54" spans="1:14">
      <c r="A54" s="537" t="s">
        <v>104</v>
      </c>
      <c r="B54" s="563" t="str">
        <f>VLOOKUP(A54,Geral!$A$1:$D$36,2,FALSE)</f>
        <v>Marketing Digital</v>
      </c>
      <c r="C54" s="533" t="s">
        <v>245</v>
      </c>
      <c r="D54" s="19" t="s">
        <v>217</v>
      </c>
      <c r="E54" s="20" t="s">
        <v>185</v>
      </c>
      <c r="F54" s="115"/>
      <c r="G54" s="99" t="s">
        <v>1729</v>
      </c>
      <c r="H54" s="21" t="s">
        <v>1664</v>
      </c>
      <c r="I54" s="9" t="s">
        <v>188</v>
      </c>
      <c r="J54" s="10" t="s">
        <v>187</v>
      </c>
      <c r="K54" s="105" t="s">
        <v>1730</v>
      </c>
      <c r="L54" s="81">
        <v>1.0300925925925926E-3</v>
      </c>
      <c r="M54" s="548" t="str">
        <f>VLOOKUP(A54,Geral!$A$1:$D$36,3,FALSE)</f>
        <v>Marina Toledo Lourenção Rocha</v>
      </c>
      <c r="N54" s="583" t="str">
        <f>VLOOKUP(A54,Geral!$A$1:$D$36,4,FALSE)</f>
        <v>Fábia</v>
      </c>
    </row>
    <row r="55" spans="1:14" ht="28.5" customHeight="1">
      <c r="A55" s="538"/>
      <c r="B55" s="564"/>
      <c r="C55" s="532"/>
      <c r="D55" s="22" t="s">
        <v>184</v>
      </c>
      <c r="E55" s="20" t="s">
        <v>1731</v>
      </c>
      <c r="F55" s="116"/>
      <c r="G55" s="99" t="s">
        <v>1732</v>
      </c>
      <c r="H55" s="21" t="s">
        <v>1664</v>
      </c>
      <c r="I55" s="9" t="s">
        <v>188</v>
      </c>
      <c r="J55" s="10" t="s">
        <v>187</v>
      </c>
      <c r="K55" s="105" t="s">
        <v>1733</v>
      </c>
      <c r="L55" s="81">
        <v>1.2870370370370371E-2</v>
      </c>
      <c r="M55" s="543"/>
      <c r="N55" s="583"/>
    </row>
    <row r="56" spans="1:14" ht="30.75">
      <c r="A56" s="538"/>
      <c r="B56" s="564"/>
      <c r="C56" s="532"/>
      <c r="D56" s="22" t="s">
        <v>190</v>
      </c>
      <c r="E56" s="23" t="s">
        <v>1734</v>
      </c>
      <c r="F56" s="116"/>
      <c r="G56" s="99" t="s">
        <v>1735</v>
      </c>
      <c r="H56" s="21" t="s">
        <v>1664</v>
      </c>
      <c r="I56" s="9" t="s">
        <v>188</v>
      </c>
      <c r="J56" s="10" t="s">
        <v>187</v>
      </c>
      <c r="K56" s="105" t="s">
        <v>1736</v>
      </c>
      <c r="L56" s="81">
        <v>1.2349537037037037E-2</v>
      </c>
      <c r="M56" s="543"/>
      <c r="N56" s="583"/>
    </row>
    <row r="57" spans="1:14">
      <c r="A57" s="538"/>
      <c r="B57" s="564"/>
      <c r="C57" s="532"/>
      <c r="D57" s="22" t="s">
        <v>195</v>
      </c>
      <c r="E57" s="23" t="s">
        <v>1737</v>
      </c>
      <c r="F57" s="116"/>
      <c r="G57" s="99" t="s">
        <v>1738</v>
      </c>
      <c r="H57" s="21" t="s">
        <v>1664</v>
      </c>
      <c r="I57" s="9" t="s">
        <v>188</v>
      </c>
      <c r="J57" s="10" t="s">
        <v>187</v>
      </c>
      <c r="K57" s="105" t="s">
        <v>1739</v>
      </c>
      <c r="L57" s="81">
        <v>1.4097222222222223E-2</v>
      </c>
      <c r="M57" s="543"/>
      <c r="N57" s="583"/>
    </row>
    <row r="58" spans="1:14">
      <c r="A58" s="538"/>
      <c r="B58" s="564"/>
      <c r="C58" s="532" t="s">
        <v>256</v>
      </c>
      <c r="D58" s="19" t="s">
        <v>199</v>
      </c>
      <c r="E58" s="32" t="s">
        <v>1740</v>
      </c>
      <c r="F58" s="117"/>
      <c r="G58" s="99" t="s">
        <v>1741</v>
      </c>
      <c r="H58" s="21" t="s">
        <v>1664</v>
      </c>
      <c r="I58" s="9" t="s">
        <v>188</v>
      </c>
      <c r="J58" s="28" t="s">
        <v>187</v>
      </c>
      <c r="K58" s="105" t="s">
        <v>1742</v>
      </c>
      <c r="L58" s="81">
        <v>1.4444444444444444E-2</v>
      </c>
      <c r="M58" s="543"/>
      <c r="N58" s="583"/>
    </row>
    <row r="59" spans="1:14">
      <c r="A59" s="538"/>
      <c r="B59" s="564"/>
      <c r="C59" s="532"/>
      <c r="D59" s="19" t="s">
        <v>204</v>
      </c>
      <c r="E59" s="32" t="s">
        <v>1743</v>
      </c>
      <c r="F59" s="117"/>
      <c r="G59" s="96" t="s">
        <v>1744</v>
      </c>
      <c r="H59" s="21" t="s">
        <v>1664</v>
      </c>
      <c r="I59" s="9" t="s">
        <v>188</v>
      </c>
      <c r="J59" s="28" t="s">
        <v>187</v>
      </c>
      <c r="K59" s="105" t="s">
        <v>1745</v>
      </c>
      <c r="L59" s="81">
        <v>9.7569444444444448E-3</v>
      </c>
      <c r="M59" s="543"/>
      <c r="N59" s="583"/>
    </row>
    <row r="60" spans="1:14" ht="30.75">
      <c r="A60" s="538"/>
      <c r="B60" s="564"/>
      <c r="C60" s="532"/>
      <c r="D60" s="19" t="s">
        <v>208</v>
      </c>
      <c r="E60" s="32" t="s">
        <v>1746</v>
      </c>
      <c r="F60" s="117"/>
      <c r="G60" s="99" t="s">
        <v>1747</v>
      </c>
      <c r="H60" s="21"/>
      <c r="I60" s="9" t="s">
        <v>188</v>
      </c>
      <c r="J60" s="29" t="s">
        <v>187</v>
      </c>
      <c r="K60" s="105" t="s">
        <v>1748</v>
      </c>
      <c r="L60" s="81">
        <v>1.4016203703703704E-2</v>
      </c>
      <c r="M60" s="543"/>
      <c r="N60" s="583"/>
    </row>
    <row r="61" spans="1:14">
      <c r="A61" s="538"/>
      <c r="B61" s="564"/>
      <c r="C61" s="532" t="s">
        <v>266</v>
      </c>
      <c r="D61" s="19" t="s">
        <v>213</v>
      </c>
      <c r="E61" s="20" t="s">
        <v>1749</v>
      </c>
      <c r="F61" s="31"/>
      <c r="G61" s="99" t="s">
        <v>1750</v>
      </c>
      <c r="H61" s="21" t="s">
        <v>1664</v>
      </c>
      <c r="I61" s="9" t="s">
        <v>188</v>
      </c>
      <c r="J61" s="29" t="s">
        <v>187</v>
      </c>
      <c r="K61" s="105" t="s">
        <v>1751</v>
      </c>
      <c r="L61" s="81">
        <v>1.5486111111111112E-2</v>
      </c>
      <c r="M61" s="543"/>
      <c r="N61" s="583"/>
    </row>
    <row r="62" spans="1:14" ht="30.75">
      <c r="A62" s="538"/>
      <c r="B62" s="564"/>
      <c r="C62" s="532"/>
      <c r="D62" s="19" t="s">
        <v>270</v>
      </c>
      <c r="E62" s="23" t="s">
        <v>1752</v>
      </c>
      <c r="F62" s="31"/>
      <c r="G62" s="99" t="s">
        <v>1753</v>
      </c>
      <c r="H62" s="21" t="s">
        <v>1664</v>
      </c>
      <c r="I62" s="9" t="s">
        <v>188</v>
      </c>
      <c r="J62" s="29" t="s">
        <v>187</v>
      </c>
      <c r="K62" s="105" t="s">
        <v>1754</v>
      </c>
      <c r="L62" s="81">
        <v>6.8055555555555551E-3</v>
      </c>
      <c r="M62" s="543"/>
      <c r="N62" s="583"/>
    </row>
    <row r="63" spans="1:14">
      <c r="A63" s="538"/>
      <c r="B63" s="564"/>
      <c r="C63" s="532"/>
      <c r="D63" s="19" t="s">
        <v>274</v>
      </c>
      <c r="E63" s="32" t="s">
        <v>1755</v>
      </c>
      <c r="F63" s="117"/>
      <c r="G63" s="99" t="s">
        <v>1756</v>
      </c>
      <c r="H63" s="21" t="s">
        <v>1664</v>
      </c>
      <c r="I63" s="9" t="s">
        <v>188</v>
      </c>
      <c r="J63" s="28" t="s">
        <v>187</v>
      </c>
      <c r="K63" s="105" t="s">
        <v>1757</v>
      </c>
      <c r="L63" s="128">
        <v>1.1377314814814814E-2</v>
      </c>
      <c r="M63" s="543"/>
      <c r="N63" s="583"/>
    </row>
    <row r="64" spans="1:14">
      <c r="A64" s="538"/>
      <c r="B64" s="564"/>
      <c r="C64" s="532" t="s">
        <v>278</v>
      </c>
      <c r="D64" s="19" t="s">
        <v>279</v>
      </c>
      <c r="E64" s="32" t="s">
        <v>1758</v>
      </c>
      <c r="F64" s="117"/>
      <c r="G64" s="99" t="s">
        <v>1759</v>
      </c>
      <c r="H64" s="21" t="s">
        <v>1664</v>
      </c>
      <c r="I64" s="9" t="s">
        <v>188</v>
      </c>
      <c r="J64" s="28" t="s">
        <v>187</v>
      </c>
      <c r="K64" s="105" t="s">
        <v>1760</v>
      </c>
      <c r="L64" s="81">
        <v>1.0729166666666666E-2</v>
      </c>
      <c r="M64" s="543"/>
      <c r="N64" s="583"/>
    </row>
    <row r="65" spans="1:14">
      <c r="A65" s="538"/>
      <c r="B65" s="564"/>
      <c r="C65" s="532"/>
      <c r="D65" s="19" t="s">
        <v>283</v>
      </c>
      <c r="E65" s="32" t="s">
        <v>1761</v>
      </c>
      <c r="F65" s="117"/>
      <c r="G65" s="99" t="s">
        <v>1762</v>
      </c>
      <c r="H65" s="21" t="s">
        <v>1664</v>
      </c>
      <c r="I65" s="9" t="s">
        <v>188</v>
      </c>
      <c r="J65" s="28" t="s">
        <v>187</v>
      </c>
      <c r="K65" s="105" t="s">
        <v>1763</v>
      </c>
      <c r="L65" s="81">
        <v>1.4872685185185185E-2</v>
      </c>
      <c r="M65" s="543"/>
      <c r="N65" s="583"/>
    </row>
    <row r="66" spans="1:14">
      <c r="A66" s="538"/>
      <c r="B66" s="564"/>
      <c r="C66" s="532"/>
      <c r="D66" s="19" t="s">
        <v>287</v>
      </c>
      <c r="E66" s="31" t="s">
        <v>1764</v>
      </c>
      <c r="F66" s="31"/>
      <c r="G66" s="99" t="s">
        <v>1765</v>
      </c>
      <c r="H66" s="21" t="s">
        <v>1664</v>
      </c>
      <c r="I66" s="9" t="s">
        <v>188</v>
      </c>
      <c r="J66" s="28" t="s">
        <v>187</v>
      </c>
      <c r="K66" s="105" t="s">
        <v>1766</v>
      </c>
      <c r="L66" s="81">
        <v>1.2291666666666666E-2</v>
      </c>
      <c r="M66" s="543"/>
      <c r="N66" s="583"/>
    </row>
    <row r="67" spans="1:14" ht="30.75">
      <c r="A67" s="538"/>
      <c r="B67" s="564"/>
      <c r="C67" s="532" t="s">
        <v>291</v>
      </c>
      <c r="D67" s="19" t="s">
        <v>292</v>
      </c>
      <c r="E67" s="31" t="s">
        <v>1767</v>
      </c>
      <c r="F67" s="31"/>
      <c r="G67" s="99" t="s">
        <v>1768</v>
      </c>
      <c r="H67" s="21" t="s">
        <v>1664</v>
      </c>
      <c r="I67" s="9" t="s">
        <v>188</v>
      </c>
      <c r="J67" s="28" t="s">
        <v>187</v>
      </c>
      <c r="K67" s="105" t="s">
        <v>1769</v>
      </c>
      <c r="L67" s="81">
        <v>9.571759259259259E-3</v>
      </c>
      <c r="M67" s="543"/>
      <c r="N67" s="583"/>
    </row>
    <row r="68" spans="1:14" ht="30.75">
      <c r="A68" s="538"/>
      <c r="B68" s="564"/>
      <c r="C68" s="532"/>
      <c r="D68" s="19" t="s">
        <v>297</v>
      </c>
      <c r="E68" s="32" t="s">
        <v>1770</v>
      </c>
      <c r="F68" s="117"/>
      <c r="G68" s="21" t="s">
        <v>1771</v>
      </c>
      <c r="H68" s="21" t="s">
        <v>1664</v>
      </c>
      <c r="I68" s="9" t="s">
        <v>188</v>
      </c>
      <c r="J68" s="28" t="s">
        <v>187</v>
      </c>
      <c r="K68" s="105" t="s">
        <v>1772</v>
      </c>
      <c r="L68" s="81">
        <v>1.3564814814814814E-2</v>
      </c>
      <c r="M68" s="543"/>
      <c r="N68" s="583"/>
    </row>
    <row r="69" spans="1:14" ht="30.75">
      <c r="A69" s="538"/>
      <c r="B69" s="564"/>
      <c r="C69" s="534"/>
      <c r="D69" s="19" t="s">
        <v>301</v>
      </c>
      <c r="E69" s="35" t="s">
        <v>1773</v>
      </c>
      <c r="F69" s="372"/>
      <c r="G69" s="21" t="s">
        <v>1774</v>
      </c>
      <c r="H69" s="21" t="s">
        <v>1664</v>
      </c>
      <c r="I69" s="9" t="s">
        <v>188</v>
      </c>
      <c r="J69" s="28" t="s">
        <v>187</v>
      </c>
      <c r="K69" s="105" t="s">
        <v>1775</v>
      </c>
      <c r="L69" s="81">
        <v>9.6990740740740735E-3</v>
      </c>
      <c r="M69" s="543"/>
      <c r="N69" s="583"/>
    </row>
    <row r="70" spans="1:14" ht="30.75">
      <c r="A70" s="538"/>
      <c r="B70" s="564"/>
      <c r="C70" s="533" t="s">
        <v>305</v>
      </c>
      <c r="D70" s="19" t="s">
        <v>306</v>
      </c>
      <c r="E70" s="35" t="s">
        <v>1776</v>
      </c>
      <c r="F70" s="372"/>
      <c r="G70" s="21" t="s">
        <v>1777</v>
      </c>
      <c r="H70" s="21"/>
      <c r="I70" s="9" t="s">
        <v>188</v>
      </c>
      <c r="J70" s="28" t="s">
        <v>187</v>
      </c>
      <c r="K70" s="105" t="s">
        <v>1778</v>
      </c>
      <c r="L70" s="81">
        <v>5.4050925925925924E-3</v>
      </c>
      <c r="M70" s="543"/>
      <c r="N70" s="583"/>
    </row>
    <row r="71" spans="1:14" ht="30.75">
      <c r="A71" s="538"/>
      <c r="B71" s="564"/>
      <c r="C71" s="532"/>
      <c r="D71" s="19" t="s">
        <v>425</v>
      </c>
      <c r="E71" s="35" t="s">
        <v>1779</v>
      </c>
      <c r="F71" s="372"/>
      <c r="G71" s="21" t="s">
        <v>1780</v>
      </c>
      <c r="H71" s="21" t="s">
        <v>1664</v>
      </c>
      <c r="I71" s="9" t="s">
        <v>188</v>
      </c>
      <c r="J71" s="28" t="s">
        <v>187</v>
      </c>
      <c r="K71" s="105" t="s">
        <v>1781</v>
      </c>
      <c r="L71" s="81">
        <v>1.2824074074074075E-2</v>
      </c>
      <c r="M71" s="543"/>
      <c r="N71" s="583"/>
    </row>
    <row r="72" spans="1:14" ht="30.75">
      <c r="A72" s="538"/>
      <c r="B72" s="564"/>
      <c r="C72" s="534"/>
      <c r="D72" s="19" t="s">
        <v>429</v>
      </c>
      <c r="E72" s="36" t="s">
        <v>1782</v>
      </c>
      <c r="F72" s="36"/>
      <c r="G72" s="21" t="s">
        <v>1783</v>
      </c>
      <c r="H72" s="21" t="s">
        <v>1664</v>
      </c>
      <c r="I72" s="9" t="s">
        <v>188</v>
      </c>
      <c r="J72" s="110" t="s">
        <v>187</v>
      </c>
      <c r="K72" s="105" t="s">
        <v>1784</v>
      </c>
      <c r="L72" s="81">
        <v>9.780092592592592E-3</v>
      </c>
      <c r="M72" s="543"/>
      <c r="N72" s="583"/>
    </row>
    <row r="73" spans="1:14" ht="30.75">
      <c r="A73" s="538"/>
      <c r="B73" s="564"/>
      <c r="C73" s="533" t="s">
        <v>365</v>
      </c>
      <c r="D73" s="19" t="s">
        <v>433</v>
      </c>
      <c r="E73" s="328" t="s">
        <v>1785</v>
      </c>
      <c r="F73" s="36"/>
      <c r="G73" s="21" t="s">
        <v>1786</v>
      </c>
      <c r="H73" s="21"/>
      <c r="I73" s="9" t="s">
        <v>188</v>
      </c>
      <c r="J73" s="28" t="s">
        <v>187</v>
      </c>
      <c r="K73" s="105" t="s">
        <v>1787</v>
      </c>
      <c r="L73" s="81">
        <v>1.3194444444444444E-2</v>
      </c>
      <c r="M73" s="543"/>
      <c r="N73" s="583"/>
    </row>
    <row r="74" spans="1:14" ht="30.75">
      <c r="A74" s="538"/>
      <c r="B74" s="564"/>
      <c r="C74" s="532"/>
      <c r="D74" s="19" t="s">
        <v>437</v>
      </c>
      <c r="E74" s="36" t="s">
        <v>1788</v>
      </c>
      <c r="F74" s="36"/>
      <c r="G74" s="21" t="s">
        <v>1789</v>
      </c>
      <c r="H74" s="21" t="s">
        <v>1664</v>
      </c>
      <c r="I74" s="9" t="s">
        <v>188</v>
      </c>
      <c r="J74" s="28" t="s">
        <v>187</v>
      </c>
      <c r="K74" s="105" t="s">
        <v>1790</v>
      </c>
      <c r="L74" s="81">
        <v>7.083333333333333E-3</v>
      </c>
      <c r="M74" s="543"/>
      <c r="N74" s="583"/>
    </row>
    <row r="75" spans="1:14">
      <c r="A75" s="566"/>
      <c r="B75" s="570"/>
      <c r="C75" s="532"/>
      <c r="D75" s="19" t="s">
        <v>639</v>
      </c>
      <c r="E75" s="136" t="s">
        <v>1791</v>
      </c>
      <c r="F75" s="36"/>
      <c r="G75" s="21" t="s">
        <v>1792</v>
      </c>
      <c r="H75" s="21" t="s">
        <v>1664</v>
      </c>
      <c r="I75" s="9" t="s">
        <v>188</v>
      </c>
      <c r="J75" s="28" t="s">
        <v>187</v>
      </c>
      <c r="K75" s="105" t="s">
        <v>1793</v>
      </c>
      <c r="L75" s="81">
        <v>7.9745370370370369E-3</v>
      </c>
      <c r="M75" s="569"/>
      <c r="N75" s="583"/>
    </row>
    <row r="76" spans="1:14">
      <c r="A76" s="13"/>
      <c r="B76" s="14"/>
      <c r="C76" s="15"/>
      <c r="D76" s="15"/>
      <c r="E76" s="16"/>
      <c r="F76" s="371"/>
      <c r="G76" s="17"/>
      <c r="H76" s="15"/>
      <c r="I76" s="15"/>
      <c r="J76" s="16"/>
      <c r="K76" s="16"/>
      <c r="L76" s="16"/>
      <c r="M76" s="15"/>
      <c r="N76" s="15"/>
    </row>
    <row r="77" spans="1:14">
      <c r="A77" s="537" t="s">
        <v>107</v>
      </c>
      <c r="B77" s="563" t="str">
        <f>VLOOKUP(A77,Geral!$A$1:$D$36,2,FALSE)</f>
        <v>Pesquisa Operacional II</v>
      </c>
      <c r="C77" s="533" t="s">
        <v>245</v>
      </c>
      <c r="D77" s="19" t="s">
        <v>217</v>
      </c>
      <c r="E77" s="20" t="s">
        <v>185</v>
      </c>
      <c r="F77" s="115"/>
      <c r="G77" s="99" t="s">
        <v>1794</v>
      </c>
      <c r="H77" s="82" t="s">
        <v>187</v>
      </c>
      <c r="I77" s="9" t="s">
        <v>188</v>
      </c>
      <c r="J77" s="288" t="s">
        <v>187</v>
      </c>
      <c r="K77" s="105" t="s">
        <v>1795</v>
      </c>
      <c r="L77" s="81">
        <v>2.1180555555555558E-3</v>
      </c>
      <c r="M77" s="548" t="str">
        <f>VLOOKUP(A77,Geral!$A$1:$D$36,3,FALSE)</f>
        <v>Anibal Tavares De Azevedo</v>
      </c>
      <c r="N77" s="583" t="str">
        <f>VLOOKUP(A77,Geral!$A$1:$D$36,4,FALSE)</f>
        <v>Ieda</v>
      </c>
    </row>
    <row r="78" spans="1:14">
      <c r="A78" s="538"/>
      <c r="B78" s="564"/>
      <c r="C78" s="532"/>
      <c r="D78" s="22" t="s">
        <v>184</v>
      </c>
      <c r="E78" s="329" t="s">
        <v>1796</v>
      </c>
      <c r="F78" s="116"/>
      <c r="G78" s="99" t="s">
        <v>1797</v>
      </c>
      <c r="H78" s="82" t="s">
        <v>187</v>
      </c>
      <c r="I78" s="9" t="s">
        <v>188</v>
      </c>
      <c r="J78" s="288" t="s">
        <v>187</v>
      </c>
      <c r="K78" s="105" t="s">
        <v>1798</v>
      </c>
      <c r="L78" s="81">
        <v>1.4490740740740742E-2</v>
      </c>
      <c r="M78" s="543"/>
      <c r="N78" s="583"/>
    </row>
    <row r="79" spans="1:14">
      <c r="A79" s="538"/>
      <c r="B79" s="564"/>
      <c r="C79" s="532"/>
      <c r="D79" s="22" t="s">
        <v>190</v>
      </c>
      <c r="E79" s="24" t="s">
        <v>1799</v>
      </c>
      <c r="F79" s="374"/>
      <c r="G79" s="400" t="s">
        <v>1800</v>
      </c>
      <c r="H79" s="82" t="s">
        <v>187</v>
      </c>
      <c r="I79" s="9" t="s">
        <v>188</v>
      </c>
      <c r="J79" s="288" t="s">
        <v>187</v>
      </c>
      <c r="K79" s="105" t="s">
        <v>1801</v>
      </c>
      <c r="L79" s="81">
        <v>1.4768518518518519E-2</v>
      </c>
      <c r="M79" s="543"/>
      <c r="N79" s="583"/>
    </row>
    <row r="80" spans="1:14">
      <c r="A80" s="538"/>
      <c r="B80" s="564"/>
      <c r="C80" s="532"/>
      <c r="D80" s="22" t="s">
        <v>195</v>
      </c>
      <c r="E80" s="20" t="s">
        <v>1802</v>
      </c>
      <c r="F80" s="116"/>
      <c r="G80" s="99" t="s">
        <v>1803</v>
      </c>
      <c r="H80" s="82" t="s">
        <v>187</v>
      </c>
      <c r="I80" s="9" t="s">
        <v>188</v>
      </c>
      <c r="J80" s="288" t="s">
        <v>187</v>
      </c>
      <c r="K80" s="105" t="s">
        <v>1804</v>
      </c>
      <c r="L80" s="81">
        <v>1.3900462962962963E-2</v>
      </c>
      <c r="M80" s="543"/>
      <c r="N80" s="583"/>
    </row>
    <row r="81" spans="1:14">
      <c r="A81" s="538"/>
      <c r="B81" s="564"/>
      <c r="C81" s="532" t="s">
        <v>256</v>
      </c>
      <c r="D81" s="19" t="s">
        <v>199</v>
      </c>
      <c r="E81" s="32" t="s">
        <v>1805</v>
      </c>
      <c r="F81" s="117"/>
      <c r="G81" s="99" t="s">
        <v>1806</v>
      </c>
      <c r="H81" s="82" t="s">
        <v>187</v>
      </c>
      <c r="I81" s="9" t="s">
        <v>188</v>
      </c>
      <c r="J81" s="288" t="s">
        <v>187</v>
      </c>
      <c r="K81" s="105" t="s">
        <v>1807</v>
      </c>
      <c r="L81" s="81">
        <v>1.4016203703703704E-2</v>
      </c>
      <c r="M81" s="543"/>
      <c r="N81" s="583"/>
    </row>
    <row r="82" spans="1:14">
      <c r="A82" s="538"/>
      <c r="B82" s="564"/>
      <c r="C82" s="532"/>
      <c r="D82" s="19" t="s">
        <v>204</v>
      </c>
      <c r="E82" s="26" t="s">
        <v>1808</v>
      </c>
      <c r="F82" s="117"/>
      <c r="G82" s="99" t="s">
        <v>1809</v>
      </c>
      <c r="H82" s="82" t="s">
        <v>187</v>
      </c>
      <c r="I82" s="9" t="s">
        <v>188</v>
      </c>
      <c r="J82" s="288" t="s">
        <v>187</v>
      </c>
      <c r="K82" s="105" t="s">
        <v>1810</v>
      </c>
      <c r="L82" s="81">
        <v>1.2395833333333333E-2</v>
      </c>
      <c r="M82" s="543"/>
      <c r="N82" s="583"/>
    </row>
    <row r="83" spans="1:14">
      <c r="A83" s="538"/>
      <c r="B83" s="564"/>
      <c r="C83" s="532"/>
      <c r="D83" s="19" t="s">
        <v>208</v>
      </c>
      <c r="E83" s="89" t="s">
        <v>1811</v>
      </c>
      <c r="F83" s="117"/>
      <c r="G83" s="99" t="s">
        <v>1812</v>
      </c>
      <c r="H83" s="82" t="s">
        <v>187</v>
      </c>
      <c r="I83" s="9" t="s">
        <v>188</v>
      </c>
      <c r="J83" s="288" t="s">
        <v>187</v>
      </c>
      <c r="K83" s="105" t="s">
        <v>1813</v>
      </c>
      <c r="L83" s="81">
        <v>1.4560185185185185E-2</v>
      </c>
      <c r="M83" s="543"/>
      <c r="N83" s="583"/>
    </row>
    <row r="84" spans="1:14">
      <c r="A84" s="538"/>
      <c r="B84" s="564"/>
      <c r="C84" s="532" t="s">
        <v>266</v>
      </c>
      <c r="D84" s="19" t="s">
        <v>213</v>
      </c>
      <c r="E84" s="329" t="s">
        <v>1814</v>
      </c>
      <c r="F84" s="31"/>
      <c r="G84" s="99" t="s">
        <v>1815</v>
      </c>
      <c r="H84" s="82" t="s">
        <v>187</v>
      </c>
      <c r="I84" s="9" t="s">
        <v>188</v>
      </c>
      <c r="J84" s="288" t="s">
        <v>187</v>
      </c>
      <c r="K84" s="105" t="s">
        <v>1816</v>
      </c>
      <c r="L84" s="81">
        <v>1.5462962962962963E-2</v>
      </c>
      <c r="M84" s="543"/>
      <c r="N84" s="583"/>
    </row>
    <row r="85" spans="1:14">
      <c r="A85" s="538"/>
      <c r="B85" s="564"/>
      <c r="C85" s="532"/>
      <c r="D85" s="19" t="s">
        <v>270</v>
      </c>
      <c r="E85" s="30" t="s">
        <v>1817</v>
      </c>
      <c r="F85" s="375"/>
      <c r="G85" s="487" t="s">
        <v>1818</v>
      </c>
      <c r="H85" s="82" t="s">
        <v>187</v>
      </c>
      <c r="I85" s="9" t="s">
        <v>188</v>
      </c>
      <c r="J85" s="288" t="s">
        <v>187</v>
      </c>
      <c r="K85" s="105" t="s">
        <v>1819</v>
      </c>
      <c r="L85" s="81">
        <v>1.2962962962962963E-2</v>
      </c>
      <c r="M85" s="543"/>
      <c r="N85" s="583"/>
    </row>
    <row r="86" spans="1:14">
      <c r="A86" s="538"/>
      <c r="B86" s="564"/>
      <c r="C86" s="532"/>
      <c r="D86" s="19" t="s">
        <v>274</v>
      </c>
      <c r="E86" s="32" t="s">
        <v>1820</v>
      </c>
      <c r="F86" s="375"/>
      <c r="G86" s="488" t="s">
        <v>1821</v>
      </c>
      <c r="H86" s="82" t="s">
        <v>187</v>
      </c>
      <c r="I86" s="9" t="s">
        <v>188</v>
      </c>
      <c r="J86" s="288" t="s">
        <v>187</v>
      </c>
      <c r="K86" s="105" t="s">
        <v>1822</v>
      </c>
      <c r="L86" s="128">
        <v>1.40625E-2</v>
      </c>
      <c r="M86" s="543"/>
      <c r="N86" s="583"/>
    </row>
    <row r="87" spans="1:14" ht="30.75">
      <c r="A87" s="538"/>
      <c r="B87" s="564"/>
      <c r="C87" s="532" t="s">
        <v>278</v>
      </c>
      <c r="D87" s="19" t="s">
        <v>279</v>
      </c>
      <c r="E87" s="32" t="s">
        <v>1823</v>
      </c>
      <c r="F87" s="375"/>
      <c r="G87" s="488" t="s">
        <v>1824</v>
      </c>
      <c r="H87" s="82" t="s">
        <v>187</v>
      </c>
      <c r="I87" s="9" t="s">
        <v>188</v>
      </c>
      <c r="J87" s="288" t="s">
        <v>187</v>
      </c>
      <c r="K87" s="105" t="s">
        <v>1825</v>
      </c>
      <c r="L87" s="81">
        <v>1.5555555555555555E-2</v>
      </c>
      <c r="M87" s="543"/>
      <c r="N87" s="583"/>
    </row>
    <row r="88" spans="1:14">
      <c r="A88" s="538"/>
      <c r="B88" s="564"/>
      <c r="C88" s="532"/>
      <c r="D88" s="19" t="s">
        <v>283</v>
      </c>
      <c r="E88" s="32" t="s">
        <v>1826</v>
      </c>
      <c r="F88" s="375"/>
      <c r="G88" s="488" t="s">
        <v>1827</v>
      </c>
      <c r="H88" s="82" t="s">
        <v>187</v>
      </c>
      <c r="I88" s="9" t="s">
        <v>188</v>
      </c>
      <c r="J88" s="288" t="s">
        <v>187</v>
      </c>
      <c r="K88" s="105" t="s">
        <v>1828</v>
      </c>
      <c r="L88" s="81">
        <v>9.8842592592592593E-3</v>
      </c>
      <c r="M88" s="543"/>
      <c r="N88" s="583"/>
    </row>
    <row r="89" spans="1:14">
      <c r="A89" s="538"/>
      <c r="B89" s="564"/>
      <c r="C89" s="532"/>
      <c r="D89" s="19" t="s">
        <v>287</v>
      </c>
      <c r="E89" s="31" t="s">
        <v>1829</v>
      </c>
      <c r="F89" s="31"/>
      <c r="G89" s="99" t="s">
        <v>1830</v>
      </c>
      <c r="H89" s="82" t="s">
        <v>187</v>
      </c>
      <c r="I89" s="9" t="s">
        <v>188</v>
      </c>
      <c r="J89" s="288" t="s">
        <v>187</v>
      </c>
      <c r="K89" s="105" t="s">
        <v>1831</v>
      </c>
      <c r="L89" s="81">
        <v>1.0150462962962964E-2</v>
      </c>
      <c r="M89" s="543"/>
      <c r="N89" s="583"/>
    </row>
    <row r="90" spans="1:14" ht="30.75">
      <c r="A90" s="538"/>
      <c r="B90" s="564"/>
      <c r="C90" s="532" t="s">
        <v>291</v>
      </c>
      <c r="D90" s="19" t="s">
        <v>292</v>
      </c>
      <c r="E90" s="31" t="s">
        <v>1832</v>
      </c>
      <c r="F90" s="31"/>
      <c r="G90" s="99" t="s">
        <v>1833</v>
      </c>
      <c r="H90" s="82" t="s">
        <v>187</v>
      </c>
      <c r="I90" s="9" t="s">
        <v>188</v>
      </c>
      <c r="J90" s="288" t="s">
        <v>187</v>
      </c>
      <c r="K90" s="105" t="s">
        <v>1834</v>
      </c>
      <c r="L90" s="81">
        <v>1.3738425925925926E-2</v>
      </c>
      <c r="M90" s="543"/>
      <c r="N90" s="583"/>
    </row>
    <row r="91" spans="1:14">
      <c r="A91" s="538"/>
      <c r="B91" s="564"/>
      <c r="C91" s="532"/>
      <c r="D91" s="19" t="s">
        <v>297</v>
      </c>
      <c r="E91" s="32" t="s">
        <v>1835</v>
      </c>
      <c r="F91" s="117"/>
      <c r="G91" s="99" t="s">
        <v>1836</v>
      </c>
      <c r="H91" s="82" t="s">
        <v>187</v>
      </c>
      <c r="I91" s="9" t="s">
        <v>188</v>
      </c>
      <c r="J91" s="288" t="s">
        <v>187</v>
      </c>
      <c r="K91" s="105" t="s">
        <v>1837</v>
      </c>
      <c r="L91" s="81">
        <v>1.3726851851851851E-2</v>
      </c>
      <c r="M91" s="543"/>
      <c r="N91" s="583"/>
    </row>
    <row r="92" spans="1:14">
      <c r="A92" s="538"/>
      <c r="B92" s="564"/>
      <c r="C92" s="534"/>
      <c r="D92" s="19" t="s">
        <v>301</v>
      </c>
      <c r="E92" s="34" t="s">
        <v>1838</v>
      </c>
      <c r="F92" s="372"/>
      <c r="G92" s="99" t="s">
        <v>1839</v>
      </c>
      <c r="H92" s="82" t="s">
        <v>187</v>
      </c>
      <c r="I92" s="9" t="s">
        <v>188</v>
      </c>
      <c r="J92" s="288" t="s">
        <v>187</v>
      </c>
      <c r="K92" s="105" t="s">
        <v>1840</v>
      </c>
      <c r="L92" s="81">
        <v>1.193287037037037E-2</v>
      </c>
      <c r="M92" s="543"/>
      <c r="N92" s="583"/>
    </row>
    <row r="93" spans="1:14">
      <c r="A93" s="538"/>
      <c r="B93" s="564"/>
      <c r="C93" s="533" t="s">
        <v>305</v>
      </c>
      <c r="D93" s="19" t="s">
        <v>306</v>
      </c>
      <c r="E93" s="329" t="s">
        <v>1841</v>
      </c>
      <c r="F93" s="376"/>
      <c r="G93" s="487" t="s">
        <v>1842</v>
      </c>
      <c r="H93" s="82" t="s">
        <v>187</v>
      </c>
      <c r="I93" s="9" t="s">
        <v>188</v>
      </c>
      <c r="J93" s="288" t="s">
        <v>187</v>
      </c>
      <c r="K93" s="513" t="s">
        <v>1843</v>
      </c>
      <c r="L93" s="81">
        <v>1.4849537037037038E-2</v>
      </c>
      <c r="M93" s="543"/>
      <c r="N93" s="583"/>
    </row>
    <row r="94" spans="1:14">
      <c r="A94" s="538"/>
      <c r="B94" s="564"/>
      <c r="C94" s="532"/>
      <c r="D94" s="19" t="s">
        <v>425</v>
      </c>
      <c r="E94" s="35" t="s">
        <v>1844</v>
      </c>
      <c r="F94" s="372"/>
      <c r="G94" s="99" t="s">
        <v>1845</v>
      </c>
      <c r="H94" s="82" t="s">
        <v>187</v>
      </c>
      <c r="I94" s="9" t="s">
        <v>188</v>
      </c>
      <c r="J94" s="288" t="s">
        <v>187</v>
      </c>
      <c r="K94" s="105" t="s">
        <v>1846</v>
      </c>
      <c r="L94" s="81">
        <v>1.380787037037037E-2</v>
      </c>
      <c r="M94" s="543"/>
      <c r="N94" s="583"/>
    </row>
    <row r="95" spans="1:14">
      <c r="A95" s="538"/>
      <c r="B95" s="564"/>
      <c r="C95" s="534"/>
      <c r="D95" s="19" t="s">
        <v>429</v>
      </c>
      <c r="E95" s="36" t="s">
        <v>1847</v>
      </c>
      <c r="F95" s="36"/>
      <c r="G95" s="99" t="s">
        <v>1848</v>
      </c>
      <c r="H95" s="82" t="s">
        <v>187</v>
      </c>
      <c r="I95" s="9" t="s">
        <v>188</v>
      </c>
      <c r="J95" s="288" t="s">
        <v>187</v>
      </c>
      <c r="K95" s="105" t="s">
        <v>1849</v>
      </c>
      <c r="L95" s="81">
        <v>1.2152777777777778E-2</v>
      </c>
      <c r="M95" s="543"/>
      <c r="N95" s="583"/>
    </row>
    <row r="96" spans="1:14" ht="30.75">
      <c r="A96" s="538"/>
      <c r="B96" s="564"/>
      <c r="C96" s="533" t="s">
        <v>365</v>
      </c>
      <c r="D96" s="19" t="s">
        <v>433</v>
      </c>
      <c r="E96" s="36" t="s">
        <v>1850</v>
      </c>
      <c r="F96" s="36"/>
      <c r="G96" s="99" t="s">
        <v>1851</v>
      </c>
      <c r="H96" s="82" t="s">
        <v>187</v>
      </c>
      <c r="I96" s="9" t="s">
        <v>188</v>
      </c>
      <c r="J96" s="288" t="s">
        <v>187</v>
      </c>
      <c r="K96" s="105" t="s">
        <v>1852</v>
      </c>
      <c r="L96" s="81">
        <v>1.5034722222222222E-2</v>
      </c>
      <c r="M96" s="543"/>
      <c r="N96" s="583"/>
    </row>
    <row r="97" spans="1:14" ht="30.75">
      <c r="A97" s="538"/>
      <c r="B97" s="564"/>
      <c r="C97" s="532"/>
      <c r="D97" s="19" t="s">
        <v>437</v>
      </c>
      <c r="E97" s="36" t="s">
        <v>1853</v>
      </c>
      <c r="F97" s="36"/>
      <c r="G97" s="99" t="s">
        <v>1854</v>
      </c>
      <c r="H97" s="82" t="s">
        <v>187</v>
      </c>
      <c r="I97" s="9" t="s">
        <v>188</v>
      </c>
      <c r="J97" s="288" t="s">
        <v>187</v>
      </c>
      <c r="K97" s="105" t="s">
        <v>1855</v>
      </c>
      <c r="L97" s="81">
        <v>1.306712962962963E-2</v>
      </c>
      <c r="M97" s="543"/>
      <c r="N97" s="583"/>
    </row>
    <row r="98" spans="1:14">
      <c r="A98" s="566"/>
      <c r="B98" s="570"/>
      <c r="C98" s="532"/>
      <c r="D98" s="19" t="s">
        <v>639</v>
      </c>
      <c r="E98" s="36" t="s">
        <v>1856</v>
      </c>
      <c r="F98" s="36"/>
      <c r="G98" s="99" t="s">
        <v>1857</v>
      </c>
      <c r="H98" s="82" t="s">
        <v>187</v>
      </c>
      <c r="I98" s="9" t="s">
        <v>188</v>
      </c>
      <c r="J98" s="288" t="s">
        <v>187</v>
      </c>
      <c r="K98" s="105" t="s">
        <v>1858</v>
      </c>
      <c r="L98" s="81">
        <v>1.2719907407407407E-2</v>
      </c>
      <c r="M98" s="569"/>
      <c r="N98" s="583"/>
    </row>
    <row r="99" spans="1:14">
      <c r="A99" s="13"/>
      <c r="B99" s="14"/>
      <c r="C99" s="15"/>
      <c r="D99" s="15"/>
      <c r="E99" s="16"/>
      <c r="F99" s="371"/>
      <c r="G99" s="17"/>
      <c r="H99" s="15"/>
      <c r="I99" s="15"/>
      <c r="J99" s="16"/>
      <c r="K99" s="16"/>
      <c r="L99" s="16"/>
      <c r="M99" s="15"/>
      <c r="N99" s="15"/>
    </row>
    <row r="100" spans="1:14">
      <c r="A100" s="537" t="s">
        <v>110</v>
      </c>
      <c r="B100" s="563" t="str">
        <f>VLOOKUP(A100,Geral!$A$1:$D$36,2,FALSE)</f>
        <v>Análise e modelagem de processos</v>
      </c>
      <c r="C100" s="533" t="s">
        <v>245</v>
      </c>
      <c r="D100" s="19" t="s">
        <v>217</v>
      </c>
      <c r="E100" s="20" t="s">
        <v>185</v>
      </c>
      <c r="F100" s="115"/>
      <c r="G100" s="99" t="s">
        <v>1859</v>
      </c>
      <c r="H100" s="21" t="s">
        <v>1664</v>
      </c>
      <c r="I100" s="9" t="s">
        <v>188</v>
      </c>
      <c r="J100" s="10" t="s">
        <v>187</v>
      </c>
      <c r="K100" s="341" t="s">
        <v>1860</v>
      </c>
      <c r="L100" s="81">
        <v>1.8055555555555555E-3</v>
      </c>
      <c r="M100" s="548" t="str">
        <f>VLOOKUP(A100,Geral!$A$1:$D$36,3,FALSE)</f>
        <v>Renato da Costa dos Santos</v>
      </c>
      <c r="N100" s="583" t="str">
        <f>VLOOKUP(A100,Geral!$A$1:$D$36,4,FALSE)</f>
        <v>Joel</v>
      </c>
    </row>
    <row r="101" spans="1:14" ht="30.75">
      <c r="A101" s="538"/>
      <c r="B101" s="564"/>
      <c r="C101" s="532"/>
      <c r="D101" s="22" t="s">
        <v>184</v>
      </c>
      <c r="E101" s="20" t="s">
        <v>1861</v>
      </c>
      <c r="F101" s="116"/>
      <c r="G101" s="99" t="s">
        <v>1862</v>
      </c>
      <c r="H101" s="21" t="s">
        <v>1664</v>
      </c>
      <c r="I101" s="9" t="s">
        <v>188</v>
      </c>
      <c r="J101" s="10" t="s">
        <v>187</v>
      </c>
      <c r="K101" s="105" t="s">
        <v>1863</v>
      </c>
      <c r="L101" s="81">
        <v>1.1122685185185185E-2</v>
      </c>
      <c r="M101" s="543"/>
      <c r="N101" s="583"/>
    </row>
    <row r="102" spans="1:14">
      <c r="A102" s="538"/>
      <c r="B102" s="564"/>
      <c r="C102" s="532"/>
      <c r="D102" s="22" t="s">
        <v>190</v>
      </c>
      <c r="E102" s="20" t="s">
        <v>1864</v>
      </c>
      <c r="F102" s="116"/>
      <c r="G102" s="99" t="s">
        <v>1865</v>
      </c>
      <c r="H102" s="21" t="s">
        <v>1664</v>
      </c>
      <c r="I102" s="9" t="s">
        <v>188</v>
      </c>
      <c r="J102" s="10" t="s">
        <v>187</v>
      </c>
      <c r="K102" s="105" t="s">
        <v>1866</v>
      </c>
      <c r="L102" s="81">
        <v>1.2847222222222222E-2</v>
      </c>
      <c r="M102" s="543"/>
      <c r="N102" s="583"/>
    </row>
    <row r="103" spans="1:14" ht="30.75">
      <c r="A103" s="538"/>
      <c r="B103" s="564"/>
      <c r="C103" s="532"/>
      <c r="D103" s="22" t="s">
        <v>195</v>
      </c>
      <c r="E103" s="20" t="s">
        <v>1867</v>
      </c>
      <c r="F103" s="116"/>
      <c r="G103" s="246" t="s">
        <v>1868</v>
      </c>
      <c r="H103" s="21" t="s">
        <v>1664</v>
      </c>
      <c r="I103" s="9" t="s">
        <v>188</v>
      </c>
      <c r="J103" s="10" t="s">
        <v>187</v>
      </c>
      <c r="K103" s="105" t="s">
        <v>1869</v>
      </c>
      <c r="L103" s="81">
        <v>1.2199074074074074E-2</v>
      </c>
      <c r="M103" s="543"/>
      <c r="N103" s="583"/>
    </row>
    <row r="104" spans="1:14" ht="30.75">
      <c r="A104" s="538"/>
      <c r="B104" s="564"/>
      <c r="C104" s="532" t="s">
        <v>256</v>
      </c>
      <c r="D104" s="19" t="s">
        <v>199</v>
      </c>
      <c r="E104" s="20" t="s">
        <v>1870</v>
      </c>
      <c r="F104" s="117"/>
      <c r="G104" s="99" t="s">
        <v>1871</v>
      </c>
      <c r="H104" s="21" t="s">
        <v>1664</v>
      </c>
      <c r="I104" s="9" t="s">
        <v>188</v>
      </c>
      <c r="J104" s="28" t="s">
        <v>187</v>
      </c>
      <c r="K104" s="105" t="s">
        <v>1872</v>
      </c>
      <c r="L104" s="81">
        <v>1.2881944444444444E-2</v>
      </c>
      <c r="M104" s="543"/>
      <c r="N104" s="583"/>
    </row>
    <row r="105" spans="1:14" ht="30.75">
      <c r="A105" s="538"/>
      <c r="B105" s="564"/>
      <c r="C105" s="532"/>
      <c r="D105" s="19" t="s">
        <v>204</v>
      </c>
      <c r="E105" s="20" t="s">
        <v>1873</v>
      </c>
      <c r="F105" s="117"/>
      <c r="G105" s="99" t="s">
        <v>1874</v>
      </c>
      <c r="H105" s="21" t="s">
        <v>1664</v>
      </c>
      <c r="I105" s="9" t="s">
        <v>188</v>
      </c>
      <c r="J105" s="28" t="s">
        <v>187</v>
      </c>
      <c r="K105" s="105" t="s">
        <v>1875</v>
      </c>
      <c r="L105" s="81">
        <v>1.0601851851851852E-2</v>
      </c>
      <c r="M105" s="543"/>
      <c r="N105" s="583"/>
    </row>
    <row r="106" spans="1:14" ht="30.75">
      <c r="A106" s="538"/>
      <c r="B106" s="564"/>
      <c r="C106" s="532"/>
      <c r="D106" s="19" t="s">
        <v>208</v>
      </c>
      <c r="E106" s="20" t="s">
        <v>1876</v>
      </c>
      <c r="F106" s="117"/>
      <c r="G106" s="99" t="s">
        <v>1877</v>
      </c>
      <c r="H106" s="21" t="s">
        <v>1664</v>
      </c>
      <c r="I106" s="9" t="s">
        <v>188</v>
      </c>
      <c r="J106" s="29" t="s">
        <v>187</v>
      </c>
      <c r="K106" s="105" t="s">
        <v>1878</v>
      </c>
      <c r="L106" s="81">
        <v>1.1261574074074075E-2</v>
      </c>
      <c r="M106" s="543"/>
      <c r="N106" s="583"/>
    </row>
    <row r="107" spans="1:14">
      <c r="A107" s="538"/>
      <c r="B107" s="564"/>
      <c r="C107" s="532" t="s">
        <v>266</v>
      </c>
      <c r="D107" s="19" t="s">
        <v>213</v>
      </c>
      <c r="E107" s="20" t="s">
        <v>1879</v>
      </c>
      <c r="F107" s="31"/>
      <c r="G107" s="99" t="s">
        <v>1880</v>
      </c>
      <c r="H107" s="21" t="s">
        <v>1664</v>
      </c>
      <c r="I107" s="9" t="s">
        <v>188</v>
      </c>
      <c r="J107" s="29" t="s">
        <v>187</v>
      </c>
      <c r="K107" s="105" t="s">
        <v>1881</v>
      </c>
      <c r="L107" s="81">
        <v>1.2256944444444445E-2</v>
      </c>
      <c r="M107" s="543"/>
      <c r="N107" s="583"/>
    </row>
    <row r="108" spans="1:14">
      <c r="A108" s="538"/>
      <c r="B108" s="564"/>
      <c r="C108" s="532"/>
      <c r="D108" s="19" t="s">
        <v>270</v>
      </c>
      <c r="E108" s="20" t="s">
        <v>1882</v>
      </c>
      <c r="F108" s="31"/>
      <c r="G108" s="99" t="s">
        <v>1883</v>
      </c>
      <c r="H108" s="21" t="s">
        <v>1664</v>
      </c>
      <c r="I108" s="9" t="s">
        <v>188</v>
      </c>
      <c r="J108" s="29" t="s">
        <v>187</v>
      </c>
      <c r="K108" s="105" t="s">
        <v>1884</v>
      </c>
      <c r="L108" s="81">
        <v>1.0856481481481481E-2</v>
      </c>
      <c r="M108" s="543"/>
      <c r="N108" s="583"/>
    </row>
    <row r="109" spans="1:14">
      <c r="A109" s="538"/>
      <c r="B109" s="564"/>
      <c r="C109" s="532"/>
      <c r="D109" s="19" t="s">
        <v>274</v>
      </c>
      <c r="E109" s="20" t="s">
        <v>1885</v>
      </c>
      <c r="F109" s="117"/>
      <c r="G109" s="99" t="s">
        <v>1886</v>
      </c>
      <c r="H109" s="21" t="s">
        <v>1664</v>
      </c>
      <c r="I109" s="9" t="s">
        <v>188</v>
      </c>
      <c r="J109" s="28" t="s">
        <v>187</v>
      </c>
      <c r="K109" s="105" t="s">
        <v>1887</v>
      </c>
      <c r="L109" s="128">
        <v>1.1747685185185186E-2</v>
      </c>
      <c r="M109" s="543"/>
      <c r="N109" s="583"/>
    </row>
    <row r="110" spans="1:14" ht="30.75">
      <c r="A110" s="538"/>
      <c r="B110" s="564"/>
      <c r="C110" s="532" t="s">
        <v>278</v>
      </c>
      <c r="D110" s="19" t="s">
        <v>279</v>
      </c>
      <c r="E110" s="20" t="s">
        <v>1888</v>
      </c>
      <c r="F110" s="117"/>
      <c r="G110" s="99" t="s">
        <v>1889</v>
      </c>
      <c r="H110" s="21" t="s">
        <v>1664</v>
      </c>
      <c r="I110" s="9" t="s">
        <v>188</v>
      </c>
      <c r="J110" s="28" t="s">
        <v>187</v>
      </c>
      <c r="K110" s="105" t="s">
        <v>1890</v>
      </c>
      <c r="L110" s="81">
        <v>1.193287037037037E-2</v>
      </c>
      <c r="M110" s="543"/>
      <c r="N110" s="583"/>
    </row>
    <row r="111" spans="1:14" ht="30.75">
      <c r="A111" s="538"/>
      <c r="B111" s="564"/>
      <c r="C111" s="532"/>
      <c r="D111" s="19" t="s">
        <v>283</v>
      </c>
      <c r="E111" s="20" t="s">
        <v>1891</v>
      </c>
      <c r="F111" s="117"/>
      <c r="G111" s="99" t="s">
        <v>1892</v>
      </c>
      <c r="H111" s="21" t="s">
        <v>1664</v>
      </c>
      <c r="I111" s="9" t="s">
        <v>188</v>
      </c>
      <c r="J111" s="28" t="s">
        <v>187</v>
      </c>
      <c r="K111" s="105" t="s">
        <v>1893</v>
      </c>
      <c r="L111" s="81">
        <v>1.1307870370370371E-2</v>
      </c>
      <c r="M111" s="543"/>
      <c r="N111" s="583"/>
    </row>
    <row r="112" spans="1:14" ht="30.75">
      <c r="A112" s="538"/>
      <c r="B112" s="564"/>
      <c r="C112" s="532"/>
      <c r="D112" s="19" t="s">
        <v>287</v>
      </c>
      <c r="E112" s="20" t="s">
        <v>1894</v>
      </c>
      <c r="F112" s="31"/>
      <c r="G112" s="99" t="s">
        <v>1895</v>
      </c>
      <c r="H112" s="21" t="s">
        <v>1664</v>
      </c>
      <c r="I112" s="9" t="s">
        <v>188</v>
      </c>
      <c r="J112" s="28" t="s">
        <v>187</v>
      </c>
      <c r="K112" s="105" t="s">
        <v>1896</v>
      </c>
      <c r="L112" s="81">
        <v>1.1157407407407408E-2</v>
      </c>
      <c r="M112" s="543"/>
      <c r="N112" s="583"/>
    </row>
    <row r="113" spans="1:14" ht="30.75">
      <c r="A113" s="538"/>
      <c r="B113" s="564"/>
      <c r="C113" s="532" t="s">
        <v>291</v>
      </c>
      <c r="D113" s="19" t="s">
        <v>292</v>
      </c>
      <c r="E113" s="20" t="s">
        <v>1897</v>
      </c>
      <c r="F113" s="31"/>
      <c r="G113" s="99" t="s">
        <v>1898</v>
      </c>
      <c r="H113" s="21" t="s">
        <v>1664</v>
      </c>
      <c r="I113" s="9" t="s">
        <v>188</v>
      </c>
      <c r="J113" s="28" t="s">
        <v>187</v>
      </c>
      <c r="K113" s="105" t="s">
        <v>1899</v>
      </c>
      <c r="L113" s="81">
        <v>1.337962962962963E-2</v>
      </c>
      <c r="M113" s="543"/>
      <c r="N113" s="583"/>
    </row>
    <row r="114" spans="1:14" ht="30.75">
      <c r="A114" s="538"/>
      <c r="B114" s="564"/>
      <c r="C114" s="532"/>
      <c r="D114" s="19" t="s">
        <v>297</v>
      </c>
      <c r="E114" s="20" t="s">
        <v>1900</v>
      </c>
      <c r="F114" s="117"/>
      <c r="G114" s="99" t="s">
        <v>1901</v>
      </c>
      <c r="H114" s="21" t="s">
        <v>1664</v>
      </c>
      <c r="I114" s="9" t="s">
        <v>188</v>
      </c>
      <c r="J114" s="28" t="s">
        <v>187</v>
      </c>
      <c r="K114" s="105" t="s">
        <v>1902</v>
      </c>
      <c r="L114" s="81">
        <v>1.1990740740740741E-2</v>
      </c>
      <c r="M114" s="543"/>
      <c r="N114" s="583"/>
    </row>
    <row r="115" spans="1:14" ht="30.75">
      <c r="A115" s="538"/>
      <c r="B115" s="564"/>
      <c r="C115" s="534"/>
      <c r="D115" s="19" t="s">
        <v>301</v>
      </c>
      <c r="E115" s="20" t="s">
        <v>1903</v>
      </c>
      <c r="F115" s="372"/>
      <c r="G115" s="99" t="s">
        <v>1904</v>
      </c>
      <c r="H115" s="21" t="s">
        <v>1664</v>
      </c>
      <c r="I115" s="9" t="s">
        <v>188</v>
      </c>
      <c r="J115" s="28" t="s">
        <v>187</v>
      </c>
      <c r="K115" s="105" t="s">
        <v>1905</v>
      </c>
      <c r="L115" s="81">
        <v>1.2812499999999999E-2</v>
      </c>
      <c r="M115" s="543"/>
      <c r="N115" s="583"/>
    </row>
    <row r="116" spans="1:14" ht="30.75">
      <c r="A116" s="538"/>
      <c r="B116" s="564"/>
      <c r="C116" s="533" t="s">
        <v>305</v>
      </c>
      <c r="D116" s="19" t="s">
        <v>306</v>
      </c>
      <c r="E116" s="20" t="s">
        <v>1906</v>
      </c>
      <c r="F116" s="372"/>
      <c r="G116" s="99" t="s">
        <v>1907</v>
      </c>
      <c r="H116" s="21" t="s">
        <v>1664</v>
      </c>
      <c r="I116" s="9" t="s">
        <v>188</v>
      </c>
      <c r="J116" s="28" t="s">
        <v>187</v>
      </c>
      <c r="K116" s="105" t="s">
        <v>1908</v>
      </c>
      <c r="L116" s="81">
        <v>1.3148148148148148E-2</v>
      </c>
      <c r="M116" s="543"/>
      <c r="N116" s="583"/>
    </row>
    <row r="117" spans="1:14">
      <c r="A117" s="538"/>
      <c r="B117" s="564"/>
      <c r="C117" s="532"/>
      <c r="D117" s="19" t="s">
        <v>425</v>
      </c>
      <c r="E117" s="20" t="s">
        <v>1909</v>
      </c>
      <c r="F117" s="372"/>
      <c r="G117" s="99" t="s">
        <v>1910</v>
      </c>
      <c r="H117" s="21" t="s">
        <v>1664</v>
      </c>
      <c r="I117" s="9" t="s">
        <v>188</v>
      </c>
      <c r="J117" s="28" t="s">
        <v>187</v>
      </c>
      <c r="K117" s="105" t="s">
        <v>1911</v>
      </c>
      <c r="L117" s="81">
        <v>1.1006944444444444E-2</v>
      </c>
      <c r="M117" s="543"/>
      <c r="N117" s="583"/>
    </row>
    <row r="118" spans="1:14">
      <c r="A118" s="538"/>
      <c r="B118" s="564"/>
      <c r="C118" s="534"/>
      <c r="D118" s="19" t="s">
        <v>429</v>
      </c>
      <c r="E118" s="20" t="s">
        <v>1912</v>
      </c>
      <c r="F118" s="36"/>
      <c r="G118" s="99" t="s">
        <v>1913</v>
      </c>
      <c r="H118" s="21" t="s">
        <v>1664</v>
      </c>
      <c r="I118" s="9" t="s">
        <v>188</v>
      </c>
      <c r="J118" s="110" t="s">
        <v>187</v>
      </c>
      <c r="K118" s="105" t="s">
        <v>1914</v>
      </c>
      <c r="L118" s="81">
        <v>1.1493055555555555E-2</v>
      </c>
      <c r="M118" s="543"/>
      <c r="N118" s="583"/>
    </row>
    <row r="119" spans="1:14">
      <c r="A119" s="538"/>
      <c r="B119" s="564"/>
      <c r="C119" s="533" t="s">
        <v>365</v>
      </c>
      <c r="D119" s="19" t="s">
        <v>433</v>
      </c>
      <c r="E119" s="20" t="s">
        <v>1915</v>
      </c>
      <c r="F119" s="36"/>
      <c r="G119" s="99" t="s">
        <v>1916</v>
      </c>
      <c r="H119" s="21" t="s">
        <v>1664</v>
      </c>
      <c r="I119" s="9" t="s">
        <v>188</v>
      </c>
      <c r="J119" s="28" t="s">
        <v>187</v>
      </c>
      <c r="K119" s="105" t="s">
        <v>1917</v>
      </c>
      <c r="L119" s="81">
        <v>1.0949074074074075E-2</v>
      </c>
      <c r="M119" s="543"/>
      <c r="N119" s="583"/>
    </row>
    <row r="120" spans="1:14" ht="30.75">
      <c r="A120" s="538"/>
      <c r="B120" s="564"/>
      <c r="C120" s="532"/>
      <c r="D120" s="19" t="s">
        <v>437</v>
      </c>
      <c r="E120" s="20" t="s">
        <v>1918</v>
      </c>
      <c r="F120" s="36"/>
      <c r="G120" s="99" t="s">
        <v>1919</v>
      </c>
      <c r="H120" s="21" t="s">
        <v>1664</v>
      </c>
      <c r="I120" s="9" t="s">
        <v>188</v>
      </c>
      <c r="J120" s="28" t="s">
        <v>187</v>
      </c>
      <c r="K120" s="105" t="s">
        <v>1920</v>
      </c>
      <c r="L120" s="81">
        <v>8.7962962962962968E-3</v>
      </c>
      <c r="M120" s="543"/>
      <c r="N120" s="583"/>
    </row>
    <row r="121" spans="1:14" ht="30.75">
      <c r="A121" s="566"/>
      <c r="B121" s="570"/>
      <c r="C121" s="532"/>
      <c r="D121" s="19" t="s">
        <v>639</v>
      </c>
      <c r="E121" s="20" t="s">
        <v>1921</v>
      </c>
      <c r="F121" s="36"/>
      <c r="G121" s="99" t="s">
        <v>1922</v>
      </c>
      <c r="H121" s="21" t="s">
        <v>1664</v>
      </c>
      <c r="I121" s="9" t="s">
        <v>188</v>
      </c>
      <c r="J121" s="28" t="s">
        <v>187</v>
      </c>
      <c r="K121" s="105" t="s">
        <v>1923</v>
      </c>
      <c r="L121" s="81">
        <v>1.337962962962963E-2</v>
      </c>
      <c r="M121" s="569"/>
      <c r="N121" s="583"/>
    </row>
    <row r="122" spans="1:14">
      <c r="A122" s="13"/>
      <c r="B122" s="14"/>
      <c r="C122" s="15"/>
      <c r="D122" s="15"/>
      <c r="E122" s="15"/>
      <c r="F122" s="371"/>
      <c r="G122" s="17"/>
      <c r="H122" s="15"/>
      <c r="I122" s="15"/>
      <c r="J122" s="16"/>
      <c r="K122" s="16"/>
      <c r="L122" s="16"/>
      <c r="M122" s="15"/>
      <c r="N122" s="15"/>
    </row>
    <row r="123" spans="1:14">
      <c r="A123" s="537" t="s">
        <v>113</v>
      </c>
      <c r="B123" s="563" t="str">
        <f>VLOOKUP(A123,Geral!$A$1:$D$36,2,FALSE)</f>
        <v>Filosofia da Educação</v>
      </c>
      <c r="C123" s="533" t="s">
        <v>245</v>
      </c>
      <c r="D123" s="19" t="s">
        <v>217</v>
      </c>
      <c r="E123" s="20" t="s">
        <v>185</v>
      </c>
      <c r="F123" s="115"/>
      <c r="G123" s="99" t="s">
        <v>1924</v>
      </c>
      <c r="H123" s="21" t="s">
        <v>187</v>
      </c>
      <c r="I123" s="9" t="s">
        <v>188</v>
      </c>
      <c r="J123" s="10" t="s">
        <v>187</v>
      </c>
      <c r="K123" s="105" t="s">
        <v>1925</v>
      </c>
      <c r="L123" s="42">
        <v>1.712962962962963E-3</v>
      </c>
      <c r="M123" s="548" t="str">
        <f>VLOOKUP(A123,Geral!$A$1:$D$36,3,FALSE)</f>
        <v>Ronildo Alves Dos Santos</v>
      </c>
      <c r="N123" s="583" t="str">
        <f>VLOOKUP(A123,Geral!$A$1:$D$36,4,FALSE)</f>
        <v>autoinstrucional</v>
      </c>
    </row>
    <row r="124" spans="1:14" ht="91.5">
      <c r="A124" s="538"/>
      <c r="B124" s="564"/>
      <c r="C124" s="532"/>
      <c r="D124" s="22" t="s">
        <v>184</v>
      </c>
      <c r="E124" s="367" t="s">
        <v>1926</v>
      </c>
      <c r="F124" s="116" t="s">
        <v>1927</v>
      </c>
      <c r="G124" s="99" t="s">
        <v>1928</v>
      </c>
      <c r="H124" s="21" t="s">
        <v>187</v>
      </c>
      <c r="I124" s="9" t="s">
        <v>188</v>
      </c>
      <c r="J124" s="10" t="s">
        <v>187</v>
      </c>
      <c r="K124" s="105" t="s">
        <v>1929</v>
      </c>
      <c r="L124" s="42">
        <v>1.4918981481481481E-2</v>
      </c>
      <c r="M124" s="543"/>
      <c r="N124" s="583"/>
    </row>
    <row r="125" spans="1:14" ht="137.25">
      <c r="A125" s="538"/>
      <c r="B125" s="564"/>
      <c r="C125" s="532"/>
      <c r="D125" s="22" t="s">
        <v>190</v>
      </c>
      <c r="E125" s="367" t="s">
        <v>1930</v>
      </c>
      <c r="F125" s="116" t="s">
        <v>1931</v>
      </c>
      <c r="G125" s="99" t="s">
        <v>1932</v>
      </c>
      <c r="H125" s="21" t="s">
        <v>187</v>
      </c>
      <c r="I125" s="9" t="s">
        <v>188</v>
      </c>
      <c r="J125" s="10" t="s">
        <v>187</v>
      </c>
      <c r="K125" s="105" t="s">
        <v>1933</v>
      </c>
      <c r="L125" s="42">
        <v>8.2870370370370372E-3</v>
      </c>
      <c r="M125" s="543"/>
      <c r="N125" s="583"/>
    </row>
    <row r="126" spans="1:14" ht="106.5">
      <c r="A126" s="538"/>
      <c r="B126" s="564"/>
      <c r="C126" s="532"/>
      <c r="D126" s="22" t="s">
        <v>195</v>
      </c>
      <c r="E126" s="367" t="s">
        <v>1934</v>
      </c>
      <c r="F126" s="116" t="s">
        <v>1935</v>
      </c>
      <c r="G126" s="99" t="s">
        <v>1936</v>
      </c>
      <c r="H126" s="21" t="s">
        <v>187</v>
      </c>
      <c r="I126" s="9" t="s">
        <v>188</v>
      </c>
      <c r="J126" s="10" t="s">
        <v>187</v>
      </c>
      <c r="K126" s="105" t="s">
        <v>1937</v>
      </c>
      <c r="L126" s="42">
        <v>1.1550925925925926E-2</v>
      </c>
      <c r="M126" s="543"/>
      <c r="N126" s="583"/>
    </row>
    <row r="127" spans="1:14" ht="91.5">
      <c r="A127" s="538"/>
      <c r="B127" s="564"/>
      <c r="C127" s="532" t="s">
        <v>256</v>
      </c>
      <c r="D127" s="19" t="s">
        <v>199</v>
      </c>
      <c r="E127" s="367" t="s">
        <v>1938</v>
      </c>
      <c r="F127" s="117" t="s">
        <v>1939</v>
      </c>
      <c r="G127" s="99" t="s">
        <v>1940</v>
      </c>
      <c r="H127" s="21" t="s">
        <v>187</v>
      </c>
      <c r="I127" s="9" t="s">
        <v>188</v>
      </c>
      <c r="J127" s="28" t="s">
        <v>187</v>
      </c>
      <c r="K127" s="105" t="s">
        <v>1941</v>
      </c>
      <c r="L127" s="42">
        <v>1.8414351851851852E-2</v>
      </c>
      <c r="M127" s="543"/>
      <c r="N127" s="583"/>
    </row>
    <row r="128" spans="1:14" ht="76.5">
      <c r="A128" s="538"/>
      <c r="B128" s="564"/>
      <c r="C128" s="532"/>
      <c r="D128" s="19" t="s">
        <v>204</v>
      </c>
      <c r="E128" s="367" t="s">
        <v>1942</v>
      </c>
      <c r="F128" s="117" t="s">
        <v>1943</v>
      </c>
      <c r="G128" s="99" t="s">
        <v>1944</v>
      </c>
      <c r="H128" s="21" t="s">
        <v>187</v>
      </c>
      <c r="I128" s="9" t="s">
        <v>188</v>
      </c>
      <c r="J128" s="28" t="s">
        <v>187</v>
      </c>
      <c r="K128" s="105" t="s">
        <v>1945</v>
      </c>
      <c r="L128" s="42">
        <v>1.0393518518518519E-2</v>
      </c>
      <c r="M128" s="543"/>
      <c r="N128" s="583"/>
    </row>
    <row r="129" spans="1:14" ht="106.5">
      <c r="A129" s="538"/>
      <c r="B129" s="564"/>
      <c r="C129" s="532"/>
      <c r="D129" s="19" t="s">
        <v>208</v>
      </c>
      <c r="E129" s="367" t="s">
        <v>1946</v>
      </c>
      <c r="F129" s="117" t="s">
        <v>1947</v>
      </c>
      <c r="G129" s="99" t="s">
        <v>1948</v>
      </c>
      <c r="H129" s="21" t="s">
        <v>187</v>
      </c>
      <c r="I129" s="9" t="s">
        <v>188</v>
      </c>
      <c r="J129" s="29" t="s">
        <v>187</v>
      </c>
      <c r="K129" s="105" t="s">
        <v>1949</v>
      </c>
      <c r="L129" s="42">
        <v>8.4375000000000006E-3</v>
      </c>
      <c r="M129" s="543"/>
      <c r="N129" s="583"/>
    </row>
    <row r="130" spans="1:14" ht="106.5">
      <c r="A130" s="538"/>
      <c r="B130" s="564"/>
      <c r="C130" s="532" t="s">
        <v>266</v>
      </c>
      <c r="D130" s="19" t="s">
        <v>213</v>
      </c>
      <c r="E130" s="367" t="s">
        <v>1950</v>
      </c>
      <c r="F130" s="31" t="s">
        <v>1951</v>
      </c>
      <c r="G130" s="486" t="s">
        <v>1952</v>
      </c>
      <c r="H130" s="21" t="s">
        <v>187</v>
      </c>
      <c r="I130" s="9" t="s">
        <v>188</v>
      </c>
      <c r="J130" s="29" t="s">
        <v>187</v>
      </c>
      <c r="K130" s="105" t="s">
        <v>1953</v>
      </c>
      <c r="L130" s="42">
        <v>1.5243055555555555E-2</v>
      </c>
      <c r="M130" s="543"/>
      <c r="N130" s="583"/>
    </row>
    <row r="131" spans="1:14" ht="106.5">
      <c r="A131" s="538"/>
      <c r="B131" s="564"/>
      <c r="C131" s="532"/>
      <c r="D131" s="19" t="s">
        <v>270</v>
      </c>
      <c r="E131" s="367" t="s">
        <v>1954</v>
      </c>
      <c r="F131" s="31" t="s">
        <v>1955</v>
      </c>
      <c r="G131" s="99" t="s">
        <v>1956</v>
      </c>
      <c r="H131" s="21" t="s">
        <v>187</v>
      </c>
      <c r="I131" s="9" t="s">
        <v>188</v>
      </c>
      <c r="J131" s="29" t="s">
        <v>187</v>
      </c>
      <c r="K131" s="105" t="s">
        <v>1957</v>
      </c>
      <c r="L131" s="42">
        <v>1.0844907407407407E-2</v>
      </c>
      <c r="M131" s="543"/>
      <c r="N131" s="583"/>
    </row>
    <row r="132" spans="1:14" ht="121.5">
      <c r="A132" s="538"/>
      <c r="B132" s="564"/>
      <c r="C132" s="532"/>
      <c r="D132" s="19" t="s">
        <v>274</v>
      </c>
      <c r="E132" s="367" t="s">
        <v>1958</v>
      </c>
      <c r="F132" s="117" t="s">
        <v>1959</v>
      </c>
      <c r="G132" s="99" t="s">
        <v>1960</v>
      </c>
      <c r="H132" s="21" t="s">
        <v>187</v>
      </c>
      <c r="I132" s="9" t="s">
        <v>188</v>
      </c>
      <c r="J132" s="28" t="s">
        <v>187</v>
      </c>
      <c r="K132" s="105" t="s">
        <v>1961</v>
      </c>
      <c r="L132" s="267">
        <v>1.7638888888888888E-2</v>
      </c>
      <c r="M132" s="543"/>
      <c r="N132" s="583"/>
    </row>
    <row r="133" spans="1:14" ht="76.5">
      <c r="A133" s="538"/>
      <c r="B133" s="564"/>
      <c r="C133" s="532" t="s">
        <v>278</v>
      </c>
      <c r="D133" s="19" t="s">
        <v>279</v>
      </c>
      <c r="E133" s="367" t="s">
        <v>1962</v>
      </c>
      <c r="F133" s="117" t="s">
        <v>1963</v>
      </c>
      <c r="G133" s="99" t="s">
        <v>1964</v>
      </c>
      <c r="H133" s="21" t="s">
        <v>187</v>
      </c>
      <c r="I133" s="9" t="s">
        <v>188</v>
      </c>
      <c r="J133" s="28" t="s">
        <v>187</v>
      </c>
      <c r="K133" s="105" t="s">
        <v>1965</v>
      </c>
      <c r="L133" s="42">
        <v>8.067129629629629E-3</v>
      </c>
      <c r="M133" s="543"/>
      <c r="N133" s="583"/>
    </row>
    <row r="134" spans="1:14" ht="106.5">
      <c r="A134" s="538"/>
      <c r="B134" s="564"/>
      <c r="C134" s="532"/>
      <c r="D134" s="19" t="s">
        <v>283</v>
      </c>
      <c r="E134" s="367" t="s">
        <v>1966</v>
      </c>
      <c r="F134" s="117" t="s">
        <v>1967</v>
      </c>
      <c r="G134" s="99" t="s">
        <v>1968</v>
      </c>
      <c r="H134" s="21" t="s">
        <v>187</v>
      </c>
      <c r="I134" s="9" t="s">
        <v>188</v>
      </c>
      <c r="J134" s="28" t="s">
        <v>187</v>
      </c>
      <c r="K134" s="105" t="s">
        <v>1969</v>
      </c>
      <c r="L134" s="42">
        <v>1.7372685185185185E-2</v>
      </c>
      <c r="M134" s="543"/>
      <c r="N134" s="583"/>
    </row>
    <row r="135" spans="1:14" ht="106.5">
      <c r="A135" s="538"/>
      <c r="B135" s="564"/>
      <c r="C135" s="532"/>
      <c r="D135" s="19" t="s">
        <v>287</v>
      </c>
      <c r="E135" s="367" t="s">
        <v>1970</v>
      </c>
      <c r="F135" s="31" t="s">
        <v>1971</v>
      </c>
      <c r="G135" s="99" t="s">
        <v>1972</v>
      </c>
      <c r="H135" s="21" t="s">
        <v>187</v>
      </c>
      <c r="I135" s="9" t="s">
        <v>188</v>
      </c>
      <c r="J135" s="28" t="s">
        <v>187</v>
      </c>
      <c r="K135" s="105" t="s">
        <v>1973</v>
      </c>
      <c r="L135" s="42">
        <v>1.5509259259259259E-2</v>
      </c>
      <c r="M135" s="543"/>
      <c r="N135" s="583"/>
    </row>
    <row r="136" spans="1:14" ht="121.5">
      <c r="A136" s="538"/>
      <c r="B136" s="564"/>
      <c r="C136" s="532" t="s">
        <v>291</v>
      </c>
      <c r="D136" s="19" t="s">
        <v>292</v>
      </c>
      <c r="E136" s="367" t="s">
        <v>1974</v>
      </c>
      <c r="F136" s="31" t="s">
        <v>1975</v>
      </c>
      <c r="G136" s="96" t="s">
        <v>1976</v>
      </c>
      <c r="H136" s="21" t="s">
        <v>187</v>
      </c>
      <c r="I136" s="9" t="s">
        <v>188</v>
      </c>
      <c r="J136" s="28" t="s">
        <v>187</v>
      </c>
      <c r="K136" s="105" t="s">
        <v>1977</v>
      </c>
      <c r="L136" s="42">
        <v>1.6192129629629629E-2</v>
      </c>
      <c r="M136" s="543"/>
      <c r="N136" s="583"/>
    </row>
    <row r="137" spans="1:14" ht="75" customHeight="1">
      <c r="A137" s="538"/>
      <c r="B137" s="564"/>
      <c r="C137" s="532"/>
      <c r="D137" s="19" t="s">
        <v>297</v>
      </c>
      <c r="E137" s="367" t="s">
        <v>1978</v>
      </c>
      <c r="F137" s="117" t="s">
        <v>1979</v>
      </c>
      <c r="G137" s="21" t="s">
        <v>1980</v>
      </c>
      <c r="H137" s="21" t="s">
        <v>187</v>
      </c>
      <c r="I137" s="9" t="s">
        <v>188</v>
      </c>
      <c r="J137" s="28" t="s">
        <v>187</v>
      </c>
      <c r="K137" s="105" t="s">
        <v>1981</v>
      </c>
      <c r="L137" s="42">
        <v>1.4363425925925925E-2</v>
      </c>
      <c r="M137" s="543"/>
      <c r="N137" s="583"/>
    </row>
    <row r="138" spans="1:14" ht="137.25">
      <c r="A138" s="538"/>
      <c r="B138" s="564"/>
      <c r="C138" s="534"/>
      <c r="D138" s="19" t="s">
        <v>301</v>
      </c>
      <c r="E138" s="367" t="s">
        <v>1982</v>
      </c>
      <c r="F138" s="372" t="s">
        <v>1983</v>
      </c>
      <c r="G138" s="96" t="s">
        <v>1984</v>
      </c>
      <c r="H138" s="21" t="s">
        <v>187</v>
      </c>
      <c r="I138" s="9" t="s">
        <v>188</v>
      </c>
      <c r="J138" s="28" t="s">
        <v>187</v>
      </c>
      <c r="K138" s="105" t="s">
        <v>1985</v>
      </c>
      <c r="L138" s="42">
        <v>1.5636574074074074E-2</v>
      </c>
      <c r="M138" s="543"/>
      <c r="N138" s="583"/>
    </row>
    <row r="139" spans="1:14">
      <c r="A139" s="223"/>
      <c r="B139" s="15"/>
      <c r="C139" s="15"/>
      <c r="D139" s="15"/>
      <c r="E139" s="16"/>
      <c r="F139" s="371"/>
      <c r="G139" s="17"/>
      <c r="H139" s="15"/>
      <c r="I139" s="15"/>
      <c r="J139" s="16"/>
      <c r="K139" s="16"/>
      <c r="L139" s="16"/>
      <c r="M139" s="15"/>
      <c r="N139" s="15"/>
    </row>
    <row r="140" spans="1:14" ht="30.75" customHeight="1">
      <c r="A140" s="599" t="s">
        <v>116</v>
      </c>
      <c r="B140" s="600" t="s">
        <v>117</v>
      </c>
      <c r="C140" s="285" t="s">
        <v>1986</v>
      </c>
      <c r="D140" s="280" t="s">
        <v>217</v>
      </c>
      <c r="E140" s="117" t="s">
        <v>185</v>
      </c>
      <c r="F140" s="115"/>
      <c r="G140" s="99" t="s">
        <v>1987</v>
      </c>
      <c r="H140" s="21" t="s">
        <v>248</v>
      </c>
      <c r="I140" s="9" t="s">
        <v>188</v>
      </c>
      <c r="J140" s="10" t="s">
        <v>187</v>
      </c>
      <c r="K140" s="324" t="s">
        <v>1988</v>
      </c>
      <c r="L140" s="81">
        <v>1.0069444444444444E-3</v>
      </c>
      <c r="M140" s="548" t="str">
        <f>VLOOKUP(A140,Geral!$A$1:$D$36,3,FALSE)</f>
        <v>Eli Vagner Francisco Rodrigues</v>
      </c>
      <c r="N140" s="583" t="str">
        <f>VLOOKUP(A140,Geral!$A$1:$D$36,4,FALSE)</f>
        <v>autoinstrucional</v>
      </c>
    </row>
    <row r="141" spans="1:14" ht="30.75" customHeight="1">
      <c r="A141" s="599"/>
      <c r="B141" s="600"/>
      <c r="C141" s="601" t="s">
        <v>245</v>
      </c>
      <c r="D141" s="280" t="s">
        <v>184</v>
      </c>
      <c r="E141" s="278" t="s">
        <v>1989</v>
      </c>
      <c r="F141" s="116" t="s">
        <v>1990</v>
      </c>
      <c r="G141" s="99" t="s">
        <v>1991</v>
      </c>
      <c r="H141" s="21" t="s">
        <v>248</v>
      </c>
      <c r="I141" s="9" t="s">
        <v>188</v>
      </c>
      <c r="J141" s="10" t="s">
        <v>187</v>
      </c>
      <c r="K141" s="125" t="s">
        <v>1992</v>
      </c>
      <c r="L141" s="81">
        <v>1.1979166666666667E-2</v>
      </c>
      <c r="M141" s="543"/>
      <c r="N141" s="583"/>
    </row>
    <row r="142" spans="1:14" ht="30.75" customHeight="1">
      <c r="A142" s="599"/>
      <c r="B142" s="600"/>
      <c r="C142" s="601"/>
      <c r="D142" s="280" t="s">
        <v>190</v>
      </c>
      <c r="E142" s="279" t="s">
        <v>1993</v>
      </c>
      <c r="F142" s="116" t="s">
        <v>1994</v>
      </c>
      <c r="G142" s="99" t="s">
        <v>1995</v>
      </c>
      <c r="H142" s="21" t="s">
        <v>248</v>
      </c>
      <c r="I142" s="9" t="s">
        <v>188</v>
      </c>
      <c r="J142" s="10" t="s">
        <v>187</v>
      </c>
      <c r="K142" s="125" t="s">
        <v>1996</v>
      </c>
      <c r="L142" s="81">
        <v>1.3958333333333333E-2</v>
      </c>
      <c r="M142" s="543"/>
      <c r="N142" s="583"/>
    </row>
    <row r="143" spans="1:14" ht="30.75" customHeight="1">
      <c r="A143" s="599"/>
      <c r="B143" s="600"/>
      <c r="C143" s="601" t="s">
        <v>256</v>
      </c>
      <c r="D143" s="280" t="s">
        <v>195</v>
      </c>
      <c r="E143" s="279" t="s">
        <v>1997</v>
      </c>
      <c r="F143" s="116" t="s">
        <v>1998</v>
      </c>
      <c r="G143" s="99" t="s">
        <v>1999</v>
      </c>
      <c r="H143" s="21" t="s">
        <v>248</v>
      </c>
      <c r="I143" s="9" t="s">
        <v>188</v>
      </c>
      <c r="J143" s="10" t="s">
        <v>187</v>
      </c>
      <c r="K143" s="125" t="s">
        <v>2000</v>
      </c>
      <c r="L143" s="81">
        <v>9.7685185185185184E-3</v>
      </c>
      <c r="M143" s="543"/>
      <c r="N143" s="583"/>
    </row>
    <row r="144" spans="1:14" ht="30.75" customHeight="1">
      <c r="A144" s="599"/>
      <c r="B144" s="600"/>
      <c r="C144" s="601"/>
      <c r="D144" s="280" t="s">
        <v>199</v>
      </c>
      <c r="E144" s="36" t="s">
        <v>2001</v>
      </c>
      <c r="F144" s="117" t="s">
        <v>2002</v>
      </c>
      <c r="G144" s="99" t="s">
        <v>2003</v>
      </c>
      <c r="H144" s="21" t="s">
        <v>248</v>
      </c>
      <c r="I144" s="9" t="s">
        <v>188</v>
      </c>
      <c r="J144" s="28" t="s">
        <v>187</v>
      </c>
      <c r="K144" s="125" t="s">
        <v>2004</v>
      </c>
      <c r="L144" s="81">
        <v>1.3402777777777777E-2</v>
      </c>
      <c r="M144" s="543"/>
      <c r="N144" s="583"/>
    </row>
    <row r="145" spans="1:14" ht="30.75" customHeight="1">
      <c r="A145" s="599"/>
      <c r="B145" s="600"/>
      <c r="C145" s="601" t="s">
        <v>266</v>
      </c>
      <c r="D145" s="280" t="s">
        <v>204</v>
      </c>
      <c r="E145" s="36" t="s">
        <v>2005</v>
      </c>
      <c r="F145" s="117" t="s">
        <v>2006</v>
      </c>
      <c r="G145" s="99" t="s">
        <v>2007</v>
      </c>
      <c r="H145" s="21" t="s">
        <v>248</v>
      </c>
      <c r="I145" s="9" t="s">
        <v>188</v>
      </c>
      <c r="J145" s="28" t="s">
        <v>187</v>
      </c>
      <c r="K145" s="125" t="s">
        <v>2008</v>
      </c>
      <c r="L145" s="81">
        <v>1.0972222222222222E-2</v>
      </c>
      <c r="M145" s="543"/>
      <c r="N145" s="583"/>
    </row>
    <row r="146" spans="1:14" ht="30.75" customHeight="1">
      <c r="A146" s="599"/>
      <c r="B146" s="600"/>
      <c r="C146" s="601"/>
      <c r="D146" s="280" t="s">
        <v>208</v>
      </c>
      <c r="E146" s="36" t="s">
        <v>2009</v>
      </c>
      <c r="F146" s="117" t="s">
        <v>2010</v>
      </c>
      <c r="G146" s="99" t="s">
        <v>2011</v>
      </c>
      <c r="H146" s="21" t="s">
        <v>248</v>
      </c>
      <c r="I146" s="9" t="s">
        <v>188</v>
      </c>
      <c r="J146" s="29" t="s">
        <v>187</v>
      </c>
      <c r="K146" s="125" t="s">
        <v>2012</v>
      </c>
      <c r="L146" s="81">
        <v>1.2777777777777779E-2</v>
      </c>
      <c r="M146" s="543"/>
      <c r="N146" s="583"/>
    </row>
    <row r="147" spans="1:14" ht="30.75" customHeight="1">
      <c r="A147" s="599"/>
      <c r="B147" s="600"/>
      <c r="C147" s="601" t="s">
        <v>278</v>
      </c>
      <c r="D147" s="280" t="s">
        <v>213</v>
      </c>
      <c r="E147" s="117" t="s">
        <v>2013</v>
      </c>
      <c r="F147" s="31" t="s">
        <v>2014</v>
      </c>
      <c r="G147" s="99" t="s">
        <v>2015</v>
      </c>
      <c r="H147" s="21" t="s">
        <v>248</v>
      </c>
      <c r="I147" s="9" t="s">
        <v>188</v>
      </c>
      <c r="J147" s="29" t="s">
        <v>187</v>
      </c>
      <c r="K147" s="125" t="s">
        <v>2016</v>
      </c>
      <c r="L147" s="81">
        <v>1.3055555555555556E-2</v>
      </c>
      <c r="M147" s="543"/>
      <c r="N147" s="583"/>
    </row>
    <row r="148" spans="1:14" ht="30.75" customHeight="1">
      <c r="A148" s="599"/>
      <c r="B148" s="600"/>
      <c r="C148" s="601"/>
      <c r="D148" s="280" t="s">
        <v>270</v>
      </c>
      <c r="E148" s="278" t="s">
        <v>2017</v>
      </c>
      <c r="F148" s="31" t="s">
        <v>2018</v>
      </c>
      <c r="G148" s="99" t="s">
        <v>2019</v>
      </c>
      <c r="H148" s="21" t="s">
        <v>248</v>
      </c>
      <c r="I148" s="9" t="s">
        <v>188</v>
      </c>
      <c r="J148" s="29" t="s">
        <v>187</v>
      </c>
      <c r="K148" s="125" t="s">
        <v>2020</v>
      </c>
      <c r="L148" s="81">
        <v>1.0254629629629629E-2</v>
      </c>
      <c r="M148" s="543"/>
      <c r="N148" s="583"/>
    </row>
    <row r="149" spans="1:14" ht="30.75" customHeight="1">
      <c r="A149" s="599"/>
      <c r="B149" s="600"/>
      <c r="C149" s="601" t="s">
        <v>291</v>
      </c>
      <c r="D149" s="280" t="s">
        <v>274</v>
      </c>
      <c r="E149" s="279" t="s">
        <v>2021</v>
      </c>
      <c r="F149" s="117" t="s">
        <v>2022</v>
      </c>
      <c r="G149" s="99" t="s">
        <v>2023</v>
      </c>
      <c r="H149" s="21" t="s">
        <v>248</v>
      </c>
      <c r="I149" s="9" t="s">
        <v>188</v>
      </c>
      <c r="J149" s="28" t="s">
        <v>187</v>
      </c>
      <c r="K149" s="125" t="s">
        <v>2024</v>
      </c>
      <c r="L149" s="128">
        <v>1.1666666666666667E-2</v>
      </c>
      <c r="M149" s="543"/>
      <c r="N149" s="583"/>
    </row>
    <row r="150" spans="1:14" ht="30.75" customHeight="1">
      <c r="A150" s="599"/>
      <c r="B150" s="600"/>
      <c r="C150" s="601"/>
      <c r="D150" s="280" t="s">
        <v>279</v>
      </c>
      <c r="E150" s="279" t="s">
        <v>2025</v>
      </c>
      <c r="F150" s="117" t="s">
        <v>2026</v>
      </c>
      <c r="G150" s="99" t="s">
        <v>2027</v>
      </c>
      <c r="H150" s="21" t="s">
        <v>248</v>
      </c>
      <c r="I150" s="9" t="s">
        <v>188</v>
      </c>
      <c r="J150" s="28" t="s">
        <v>187</v>
      </c>
      <c r="K150" s="125" t="s">
        <v>2028</v>
      </c>
      <c r="L150" s="81">
        <v>1.2314814814814815E-2</v>
      </c>
      <c r="M150" s="543"/>
      <c r="N150" s="583"/>
    </row>
    <row r="151" spans="1:14" ht="30.75" customHeight="1">
      <c r="A151" s="599"/>
      <c r="B151" s="600"/>
      <c r="C151" s="601" t="s">
        <v>305</v>
      </c>
      <c r="D151" s="280" t="s">
        <v>283</v>
      </c>
      <c r="E151" s="36" t="s">
        <v>2029</v>
      </c>
      <c r="F151" s="117" t="s">
        <v>2030</v>
      </c>
      <c r="G151" s="99" t="s">
        <v>2031</v>
      </c>
      <c r="H151" s="21" t="s">
        <v>248</v>
      </c>
      <c r="I151" s="9" t="s">
        <v>188</v>
      </c>
      <c r="J151" s="28" t="s">
        <v>187</v>
      </c>
      <c r="K151" s="125" t="s">
        <v>2032</v>
      </c>
      <c r="L151" s="81">
        <v>9.8958333333333329E-3</v>
      </c>
      <c r="M151" s="543"/>
      <c r="N151" s="583"/>
    </row>
    <row r="152" spans="1:14" ht="30.75" customHeight="1">
      <c r="A152" s="599"/>
      <c r="B152" s="600"/>
      <c r="C152" s="601"/>
      <c r="D152" s="280" t="s">
        <v>287</v>
      </c>
      <c r="E152" s="36" t="s">
        <v>2033</v>
      </c>
      <c r="F152" s="286" t="s">
        <v>2034</v>
      </c>
      <c r="G152" s="99" t="s">
        <v>2035</v>
      </c>
      <c r="H152" s="21" t="s">
        <v>248</v>
      </c>
      <c r="I152" s="9" t="s">
        <v>188</v>
      </c>
      <c r="J152" s="28" t="s">
        <v>187</v>
      </c>
      <c r="K152" s="125" t="s">
        <v>2036</v>
      </c>
      <c r="L152" s="81">
        <v>1.1851851851851851E-2</v>
      </c>
      <c r="M152" s="543"/>
      <c r="N152" s="583"/>
    </row>
    <row r="153" spans="1:14" ht="30.75" customHeight="1">
      <c r="A153" s="599"/>
      <c r="B153" s="600"/>
      <c r="C153" s="601" t="s">
        <v>365</v>
      </c>
      <c r="D153" s="280" t="s">
        <v>292</v>
      </c>
      <c r="E153" s="36" t="s">
        <v>2037</v>
      </c>
      <c r="F153" s="31" t="s">
        <v>2038</v>
      </c>
      <c r="G153" s="99" t="s">
        <v>2039</v>
      </c>
      <c r="H153" s="21" t="s">
        <v>248</v>
      </c>
      <c r="I153" s="9" t="s">
        <v>188</v>
      </c>
      <c r="J153" s="28" t="s">
        <v>187</v>
      </c>
      <c r="K153" s="125" t="s">
        <v>2040</v>
      </c>
      <c r="L153" s="81">
        <v>9.6874999999999999E-3</v>
      </c>
      <c r="M153" s="543"/>
      <c r="N153" s="583"/>
    </row>
    <row r="154" spans="1:14" ht="29.25" customHeight="1">
      <c r="A154" s="599"/>
      <c r="B154" s="600"/>
      <c r="C154" s="601"/>
      <c r="D154" s="280" t="s">
        <v>297</v>
      </c>
      <c r="E154" s="117" t="s">
        <v>2041</v>
      </c>
      <c r="F154" s="117" t="s">
        <v>2042</v>
      </c>
      <c r="G154" s="21" t="s">
        <v>2043</v>
      </c>
      <c r="H154" s="21" t="s">
        <v>248</v>
      </c>
      <c r="I154" s="9" t="s">
        <v>188</v>
      </c>
      <c r="J154" s="28" t="s">
        <v>187</v>
      </c>
      <c r="K154" s="125" t="s">
        <v>2044</v>
      </c>
      <c r="L154" s="81">
        <v>1.1516203703703704E-2</v>
      </c>
      <c r="M154" s="543"/>
      <c r="N154" s="583"/>
    </row>
    <row r="155" spans="1:14" ht="29.25" customHeight="1">
      <c r="A155" s="13"/>
      <c r="B155" s="14"/>
      <c r="C155" s="15"/>
      <c r="D155" s="15"/>
      <c r="E155" s="16"/>
      <c r="F155" s="371"/>
      <c r="G155" s="17"/>
      <c r="H155" s="15"/>
      <c r="I155" s="15"/>
      <c r="J155" s="16"/>
      <c r="K155" s="16"/>
      <c r="L155" s="16"/>
      <c r="M155" s="15"/>
      <c r="N155" s="15"/>
    </row>
    <row r="156" spans="1:14" ht="29.25" customHeight="1">
      <c r="A156" s="537" t="s">
        <v>118</v>
      </c>
      <c r="B156" s="563" t="str">
        <f>VLOOKUP(A156,Geral!$A$1:$D$36,2,FALSE)</f>
        <v xml:space="preserve">Gramática de Língua Portuguesa: morfologia </v>
      </c>
      <c r="C156" s="533" t="s">
        <v>245</v>
      </c>
      <c r="D156" s="19" t="s">
        <v>217</v>
      </c>
      <c r="E156" s="117" t="s">
        <v>185</v>
      </c>
      <c r="F156" s="117"/>
      <c r="G156" s="99" t="s">
        <v>2045</v>
      </c>
      <c r="H156" s="21" t="s">
        <v>565</v>
      </c>
      <c r="I156" s="9" t="s">
        <v>188</v>
      </c>
      <c r="J156" s="10" t="s">
        <v>187</v>
      </c>
      <c r="K156" s="125" t="s">
        <v>2046</v>
      </c>
      <c r="L156" s="81">
        <v>2.662037037037037E-3</v>
      </c>
      <c r="M156" s="548">
        <f>VLOOKUP(A156,Geral!$A$1:$D$36,3,FALSE)</f>
        <v>0</v>
      </c>
      <c r="N156" s="584" t="str">
        <f>VLOOKUP(A156,Geral!$A$1:$D$36,4,FALSE)</f>
        <v>Raquel/Cláudia</v>
      </c>
    </row>
    <row r="157" spans="1:14" ht="29.25" customHeight="1">
      <c r="A157" s="538"/>
      <c r="B157" s="564"/>
      <c r="C157" s="532"/>
      <c r="D157" s="214" t="s">
        <v>184</v>
      </c>
      <c r="E157" s="117" t="s">
        <v>2047</v>
      </c>
      <c r="F157" s="117" t="s">
        <v>2048</v>
      </c>
      <c r="G157" s="99" t="s">
        <v>2049</v>
      </c>
      <c r="H157" s="21" t="s">
        <v>565</v>
      </c>
      <c r="I157" s="9" t="s">
        <v>188</v>
      </c>
      <c r="J157" s="10" t="s">
        <v>187</v>
      </c>
      <c r="K157" s="125" t="s">
        <v>2050</v>
      </c>
      <c r="L157" s="83">
        <v>1.2800925925925926E-2</v>
      </c>
      <c r="M157" s="543"/>
      <c r="N157" s="584"/>
    </row>
    <row r="158" spans="1:14" ht="29.25" customHeight="1">
      <c r="A158" s="538"/>
      <c r="B158" s="564"/>
      <c r="C158" s="532"/>
      <c r="D158" s="214" t="s">
        <v>190</v>
      </c>
      <c r="E158" s="117" t="s">
        <v>2051</v>
      </c>
      <c r="F158" s="117" t="s">
        <v>2052</v>
      </c>
      <c r="G158" s="99" t="s">
        <v>2053</v>
      </c>
      <c r="H158" s="21" t="s">
        <v>565</v>
      </c>
      <c r="I158" s="9" t="s">
        <v>188</v>
      </c>
      <c r="J158" s="10" t="s">
        <v>187</v>
      </c>
      <c r="K158" s="125" t="s">
        <v>2054</v>
      </c>
      <c r="L158" s="83">
        <v>1.0289351851851852E-2</v>
      </c>
      <c r="M158" s="543"/>
      <c r="N158" s="584"/>
    </row>
    <row r="159" spans="1:14" ht="29.25" customHeight="1">
      <c r="A159" s="538"/>
      <c r="B159" s="564"/>
      <c r="C159" s="532"/>
      <c r="D159" s="214" t="s">
        <v>195</v>
      </c>
      <c r="E159" s="117" t="s">
        <v>2055</v>
      </c>
      <c r="F159" s="117" t="s">
        <v>2055</v>
      </c>
      <c r="G159" s="99" t="s">
        <v>2056</v>
      </c>
      <c r="H159" s="21" t="s">
        <v>565</v>
      </c>
      <c r="I159" s="9" t="s">
        <v>188</v>
      </c>
      <c r="J159" s="10" t="s">
        <v>187</v>
      </c>
      <c r="K159" s="125" t="s">
        <v>2057</v>
      </c>
      <c r="L159" s="83">
        <v>1.2141203703703704E-2</v>
      </c>
      <c r="M159" s="543"/>
      <c r="N159" s="584"/>
    </row>
    <row r="160" spans="1:14" ht="29.25" customHeight="1">
      <c r="A160" s="538"/>
      <c r="B160" s="564"/>
      <c r="C160" s="532" t="s">
        <v>256</v>
      </c>
      <c r="D160" s="214" t="s">
        <v>199</v>
      </c>
      <c r="E160" s="117" t="s">
        <v>2058</v>
      </c>
      <c r="F160" s="117" t="s">
        <v>2059</v>
      </c>
      <c r="G160" s="99" t="s">
        <v>2060</v>
      </c>
      <c r="H160" s="21" t="s">
        <v>565</v>
      </c>
      <c r="I160" s="9" t="s">
        <v>188</v>
      </c>
      <c r="J160" s="28" t="s">
        <v>187</v>
      </c>
      <c r="K160" s="125" t="s">
        <v>2061</v>
      </c>
      <c r="L160" s="83">
        <v>1.2766203703703703E-2</v>
      </c>
      <c r="M160" s="543"/>
      <c r="N160" s="584"/>
    </row>
    <row r="161" spans="1:14" ht="29.25" customHeight="1">
      <c r="A161" s="538"/>
      <c r="B161" s="564"/>
      <c r="C161" s="532"/>
      <c r="D161" s="214" t="s">
        <v>204</v>
      </c>
      <c r="E161" s="117" t="s">
        <v>2062</v>
      </c>
      <c r="F161" s="117" t="s">
        <v>2063</v>
      </c>
      <c r="G161" s="99" t="s">
        <v>2064</v>
      </c>
      <c r="H161" s="21" t="s">
        <v>565</v>
      </c>
      <c r="I161" s="9" t="s">
        <v>188</v>
      </c>
      <c r="J161" s="29" t="s">
        <v>187</v>
      </c>
      <c r="K161" s="125" t="s">
        <v>2065</v>
      </c>
      <c r="L161" s="83">
        <v>1.3831018518518519E-2</v>
      </c>
      <c r="M161" s="543"/>
      <c r="N161" s="584"/>
    </row>
    <row r="162" spans="1:14" ht="29.25" customHeight="1">
      <c r="A162" s="538"/>
      <c r="B162" s="564"/>
      <c r="C162" s="532" t="s">
        <v>266</v>
      </c>
      <c r="D162" s="214" t="s">
        <v>208</v>
      </c>
      <c r="E162" s="117" t="s">
        <v>2066</v>
      </c>
      <c r="F162" s="117" t="s">
        <v>2067</v>
      </c>
      <c r="G162" s="99" t="s">
        <v>2068</v>
      </c>
      <c r="H162" s="21" t="s">
        <v>565</v>
      </c>
      <c r="I162" s="9" t="s">
        <v>188</v>
      </c>
      <c r="J162" s="29" t="s">
        <v>187</v>
      </c>
      <c r="K162" s="125" t="s">
        <v>2069</v>
      </c>
      <c r="L162" s="83">
        <v>7.6157407407407406E-3</v>
      </c>
      <c r="M162" s="543"/>
      <c r="N162" s="584"/>
    </row>
    <row r="163" spans="1:14" ht="29.25" customHeight="1">
      <c r="A163" s="538"/>
      <c r="B163" s="564"/>
      <c r="C163" s="532"/>
      <c r="D163" s="272" t="s">
        <v>213</v>
      </c>
      <c r="E163" s="117" t="s">
        <v>2070</v>
      </c>
      <c r="F163" s="117" t="s">
        <v>2071</v>
      </c>
      <c r="G163" s="99" t="s">
        <v>2072</v>
      </c>
      <c r="H163" s="21" t="s">
        <v>565</v>
      </c>
      <c r="I163" s="9" t="s">
        <v>188</v>
      </c>
      <c r="J163" s="29" t="s">
        <v>187</v>
      </c>
      <c r="K163" s="125" t="s">
        <v>2073</v>
      </c>
      <c r="L163" s="83">
        <v>1.2812499999999999E-2</v>
      </c>
      <c r="M163" s="543"/>
      <c r="N163" s="584"/>
    </row>
    <row r="164" spans="1:14" ht="29.25" customHeight="1">
      <c r="A164" s="538"/>
      <c r="B164" s="564"/>
      <c r="C164" s="532"/>
      <c r="D164" s="272" t="s">
        <v>270</v>
      </c>
      <c r="E164" s="117" t="s">
        <v>2074</v>
      </c>
      <c r="F164" s="117" t="s">
        <v>2075</v>
      </c>
      <c r="G164" s="99" t="s">
        <v>2076</v>
      </c>
      <c r="H164" s="21" t="s">
        <v>565</v>
      </c>
      <c r="I164" s="9" t="s">
        <v>188</v>
      </c>
      <c r="J164" s="28" t="s">
        <v>187</v>
      </c>
      <c r="K164" s="125" t="s">
        <v>2077</v>
      </c>
      <c r="L164" s="84">
        <v>1.5555555555555555E-2</v>
      </c>
      <c r="M164" s="543"/>
      <c r="N164" s="584"/>
    </row>
    <row r="165" spans="1:14" ht="29.25" customHeight="1">
      <c r="A165" s="538"/>
      <c r="B165" s="564"/>
      <c r="C165" s="532" t="s">
        <v>278</v>
      </c>
      <c r="D165" s="19" t="s">
        <v>2078</v>
      </c>
      <c r="E165" s="117" t="s">
        <v>2079</v>
      </c>
      <c r="F165" s="117" t="s">
        <v>2080</v>
      </c>
      <c r="G165" s="99" t="s">
        <v>2081</v>
      </c>
      <c r="H165" s="21" t="s">
        <v>565</v>
      </c>
      <c r="I165" s="9" t="s">
        <v>188</v>
      </c>
      <c r="J165" s="28" t="s">
        <v>187</v>
      </c>
      <c r="K165" s="125" t="s">
        <v>2082</v>
      </c>
      <c r="L165" s="81">
        <v>9.2129629629629627E-3</v>
      </c>
      <c r="M165" s="543"/>
      <c r="N165" s="584"/>
    </row>
    <row r="166" spans="1:14" ht="29.25" customHeight="1">
      <c r="A166" s="538"/>
      <c r="B166" s="564"/>
      <c r="C166" s="532"/>
      <c r="D166" s="19" t="s">
        <v>279</v>
      </c>
      <c r="E166" s="117" t="s">
        <v>2083</v>
      </c>
      <c r="F166" s="117" t="s">
        <v>2084</v>
      </c>
      <c r="G166" s="99" t="s">
        <v>2085</v>
      </c>
      <c r="H166" s="21" t="s">
        <v>565</v>
      </c>
      <c r="I166" s="9" t="s">
        <v>188</v>
      </c>
      <c r="J166" s="28" t="s">
        <v>187</v>
      </c>
      <c r="K166" s="125" t="s">
        <v>2086</v>
      </c>
      <c r="L166" s="81">
        <v>1.1805555555555555E-2</v>
      </c>
      <c r="M166" s="543"/>
      <c r="N166" s="584"/>
    </row>
    <row r="167" spans="1:14" ht="29.25" customHeight="1">
      <c r="A167" s="538"/>
      <c r="B167" s="564"/>
      <c r="C167" s="532"/>
      <c r="D167" s="19" t="s">
        <v>283</v>
      </c>
      <c r="E167" s="117" t="s">
        <v>2087</v>
      </c>
      <c r="F167" s="117" t="s">
        <v>2088</v>
      </c>
      <c r="G167" s="99" t="s">
        <v>2089</v>
      </c>
      <c r="H167" s="21" t="s">
        <v>565</v>
      </c>
      <c r="I167" s="9" t="s">
        <v>188</v>
      </c>
      <c r="J167" s="28" t="s">
        <v>187</v>
      </c>
      <c r="K167" s="125" t="s">
        <v>2090</v>
      </c>
      <c r="L167" s="81">
        <v>1.0520833333333333E-2</v>
      </c>
      <c r="M167" s="543"/>
      <c r="N167" s="584"/>
    </row>
    <row r="168" spans="1:14" ht="29.25" customHeight="1">
      <c r="A168" s="538"/>
      <c r="B168" s="564"/>
      <c r="C168" s="532" t="s">
        <v>291</v>
      </c>
      <c r="D168" s="19" t="s">
        <v>287</v>
      </c>
      <c r="E168" s="117" t="s">
        <v>2091</v>
      </c>
      <c r="F168" s="117" t="s">
        <v>2092</v>
      </c>
      <c r="G168" s="99" t="s">
        <v>2093</v>
      </c>
      <c r="H168" s="21" t="s">
        <v>565</v>
      </c>
      <c r="I168" s="9" t="s">
        <v>188</v>
      </c>
      <c r="J168" s="28" t="s">
        <v>187</v>
      </c>
      <c r="K168" s="125" t="s">
        <v>2094</v>
      </c>
      <c r="L168" s="81">
        <v>1.4247685185185184E-2</v>
      </c>
      <c r="M168" s="543"/>
      <c r="N168" s="584"/>
    </row>
    <row r="169" spans="1:14" ht="29.25" customHeight="1">
      <c r="A169" s="538"/>
      <c r="B169" s="564"/>
      <c r="C169" s="534"/>
      <c r="D169" s="19" t="s">
        <v>292</v>
      </c>
      <c r="E169" s="117" t="s">
        <v>2095</v>
      </c>
      <c r="F169" s="117" t="s">
        <v>2096</v>
      </c>
      <c r="G169" s="99" t="s">
        <v>2097</v>
      </c>
      <c r="H169" s="21" t="s">
        <v>565</v>
      </c>
      <c r="I169" s="9" t="s">
        <v>188</v>
      </c>
      <c r="J169" s="28" t="s">
        <v>187</v>
      </c>
      <c r="K169" s="125" t="s">
        <v>2098</v>
      </c>
      <c r="L169" s="81">
        <v>1.6319444444444445E-2</v>
      </c>
      <c r="M169" s="543"/>
      <c r="N169" s="584"/>
    </row>
    <row r="170" spans="1:14" ht="29.25" customHeight="1">
      <c r="A170" s="538"/>
      <c r="B170" s="564"/>
      <c r="C170" s="533" t="s">
        <v>305</v>
      </c>
      <c r="D170" s="19" t="s">
        <v>297</v>
      </c>
      <c r="E170" s="117" t="s">
        <v>2099</v>
      </c>
      <c r="F170" s="117" t="s">
        <v>2100</v>
      </c>
      <c r="G170" s="99" t="s">
        <v>2101</v>
      </c>
      <c r="H170" s="21" t="s">
        <v>565</v>
      </c>
      <c r="I170" s="9" t="s">
        <v>188</v>
      </c>
      <c r="J170" s="28" t="s">
        <v>187</v>
      </c>
      <c r="K170" s="125" t="s">
        <v>2102</v>
      </c>
      <c r="L170" s="81">
        <v>8.8310185185185193E-3</v>
      </c>
      <c r="M170" s="543"/>
      <c r="N170" s="584"/>
    </row>
    <row r="171" spans="1:14" ht="29.25" customHeight="1">
      <c r="A171" s="538"/>
      <c r="B171" s="564"/>
      <c r="C171" s="532"/>
      <c r="D171" s="19" t="s">
        <v>301</v>
      </c>
      <c r="E171" s="117" t="s">
        <v>2103</v>
      </c>
      <c r="F171" s="117" t="s">
        <v>2104</v>
      </c>
      <c r="G171" s="99" t="s">
        <v>2105</v>
      </c>
      <c r="H171" s="21" t="s">
        <v>565</v>
      </c>
      <c r="I171" s="9" t="s">
        <v>188</v>
      </c>
      <c r="J171" s="28" t="s">
        <v>187</v>
      </c>
      <c r="K171" s="125" t="s">
        <v>2106</v>
      </c>
      <c r="L171" s="81">
        <v>1.1828703703703704E-2</v>
      </c>
      <c r="M171" s="543"/>
      <c r="N171" s="584"/>
    </row>
    <row r="172" spans="1:14" ht="29.25" customHeight="1">
      <c r="A172" s="538"/>
      <c r="B172" s="564"/>
      <c r="C172" s="534"/>
      <c r="D172" s="19" t="s">
        <v>306</v>
      </c>
      <c r="E172" s="117" t="s">
        <v>2107</v>
      </c>
      <c r="F172" s="117" t="s">
        <v>2108</v>
      </c>
      <c r="G172" s="99" t="s">
        <v>2109</v>
      </c>
      <c r="H172" s="21" t="s">
        <v>565</v>
      </c>
      <c r="I172" s="9" t="s">
        <v>188</v>
      </c>
      <c r="J172" s="110" t="s">
        <v>187</v>
      </c>
      <c r="K172" s="125" t="s">
        <v>2110</v>
      </c>
      <c r="L172" s="81">
        <v>1.5474537037037037E-2</v>
      </c>
      <c r="M172" s="543"/>
      <c r="N172" s="584"/>
    </row>
    <row r="173" spans="1:14" ht="29.25" customHeight="1">
      <c r="A173" s="538"/>
      <c r="B173" s="564"/>
      <c r="C173" s="271"/>
      <c r="D173" s="19" t="s">
        <v>425</v>
      </c>
      <c r="E173" s="117" t="s">
        <v>2111</v>
      </c>
      <c r="F173" s="117" t="s">
        <v>2112</v>
      </c>
      <c r="G173" s="99" t="s">
        <v>2113</v>
      </c>
      <c r="H173" s="21" t="s">
        <v>565</v>
      </c>
      <c r="I173" s="9" t="s">
        <v>188</v>
      </c>
      <c r="J173" s="110" t="s">
        <v>187</v>
      </c>
      <c r="K173" s="125" t="s">
        <v>2114</v>
      </c>
      <c r="L173" s="81">
        <v>1.136574074074074E-2</v>
      </c>
      <c r="M173" s="543"/>
      <c r="N173" s="584"/>
    </row>
    <row r="174" spans="1:14" ht="29.25" customHeight="1">
      <c r="A174" s="538"/>
      <c r="B174" s="564"/>
      <c r="C174" s="533" t="s">
        <v>365</v>
      </c>
      <c r="D174" s="19" t="s">
        <v>429</v>
      </c>
      <c r="E174" s="117" t="s">
        <v>2115</v>
      </c>
      <c r="F174" s="117" t="s">
        <v>2116</v>
      </c>
      <c r="G174" s="99" t="s">
        <v>2117</v>
      </c>
      <c r="H174" s="21" t="s">
        <v>565</v>
      </c>
      <c r="I174" s="9" t="s">
        <v>188</v>
      </c>
      <c r="J174" s="28" t="s">
        <v>187</v>
      </c>
      <c r="K174" s="125" t="s">
        <v>2118</v>
      </c>
      <c r="L174" s="81">
        <v>1.59375E-2</v>
      </c>
      <c r="M174" s="543"/>
      <c r="N174" s="584"/>
    </row>
    <row r="175" spans="1:14" ht="29.25" customHeight="1">
      <c r="A175" s="538"/>
      <c r="B175" s="564"/>
      <c r="C175" s="532"/>
      <c r="D175" s="19" t="s">
        <v>433</v>
      </c>
      <c r="E175" s="117" t="s">
        <v>2119</v>
      </c>
      <c r="F175" s="117" t="s">
        <v>2120</v>
      </c>
      <c r="G175" s="99" t="s">
        <v>2121</v>
      </c>
      <c r="H175" s="21" t="s">
        <v>565</v>
      </c>
      <c r="I175" s="9" t="s">
        <v>188</v>
      </c>
      <c r="J175" s="28" t="s">
        <v>187</v>
      </c>
      <c r="K175" s="125" t="s">
        <v>2122</v>
      </c>
      <c r="L175" s="81">
        <v>7.743055555555556E-3</v>
      </c>
      <c r="M175" s="543"/>
      <c r="N175" s="584"/>
    </row>
    <row r="176" spans="1:14" ht="29.25" customHeight="1">
      <c r="A176" s="566"/>
      <c r="B176" s="570"/>
      <c r="C176" s="532"/>
      <c r="D176" s="19" t="s">
        <v>437</v>
      </c>
      <c r="E176" s="117" t="s">
        <v>2123</v>
      </c>
      <c r="F176" s="117" t="s">
        <v>2124</v>
      </c>
      <c r="G176" s="99" t="s">
        <v>2125</v>
      </c>
      <c r="H176" s="21" t="s">
        <v>565</v>
      </c>
      <c r="I176" s="9" t="s">
        <v>188</v>
      </c>
      <c r="J176" s="28" t="s">
        <v>187</v>
      </c>
      <c r="K176" s="125" t="s">
        <v>2126</v>
      </c>
      <c r="L176" s="81">
        <v>1.3414351851851853E-2</v>
      </c>
      <c r="M176" s="569"/>
      <c r="N176" s="584"/>
    </row>
    <row r="177" spans="1:14" ht="29.25" customHeight="1">
      <c r="A177" s="13"/>
      <c r="B177" s="14"/>
      <c r="C177" s="15"/>
      <c r="D177" s="15"/>
      <c r="E177" s="16"/>
      <c r="F177" s="371"/>
      <c r="G177" s="17"/>
      <c r="H177" s="15"/>
      <c r="I177" s="15"/>
      <c r="J177" s="16"/>
      <c r="K177" s="16"/>
      <c r="L177" s="16"/>
      <c r="M177" s="15"/>
      <c r="N177" s="15"/>
    </row>
    <row r="178" spans="1:14" ht="29.25" customHeight="1">
      <c r="A178" s="537" t="s">
        <v>121</v>
      </c>
      <c r="B178" s="563" t="str">
        <f>VLOOKUP(A178,Geral!$A$1:$D$36,2,FALSE)</f>
        <v xml:space="preserve">Geometria Analítica </v>
      </c>
      <c r="C178" s="533" t="s">
        <v>245</v>
      </c>
      <c r="D178" s="19" t="s">
        <v>217</v>
      </c>
      <c r="E178" s="20" t="s">
        <v>185</v>
      </c>
      <c r="F178" s="115"/>
      <c r="G178" s="99" t="s">
        <v>2127</v>
      </c>
      <c r="H178" s="21"/>
      <c r="I178" s="9" t="s">
        <v>188</v>
      </c>
      <c r="J178" s="10" t="s">
        <v>187</v>
      </c>
      <c r="K178" s="368" t="s">
        <v>2128</v>
      </c>
      <c r="L178" s="42">
        <v>1.2037037037037038E-3</v>
      </c>
      <c r="M178" s="548" t="str">
        <f>VLOOKUP(A178,Geral!$A$1:$D$36,3,FALSE)</f>
        <v>Glauce Barbosa Verao</v>
      </c>
      <c r="N178" s="583" t="str">
        <f>VLOOKUP(A178,Geral!$A$1:$D$36,4,FALSE)</f>
        <v>Raquel</v>
      </c>
    </row>
    <row r="179" spans="1:14" ht="29.25" customHeight="1">
      <c r="A179" s="538"/>
      <c r="B179" s="564"/>
      <c r="C179" s="532"/>
      <c r="D179" s="22" t="s">
        <v>184</v>
      </c>
      <c r="E179" s="89" t="s">
        <v>2129</v>
      </c>
      <c r="F179" s="377" t="s">
        <v>2130</v>
      </c>
      <c r="G179" s="99" t="s">
        <v>2131</v>
      </c>
      <c r="H179" s="21"/>
      <c r="I179" s="9" t="s">
        <v>188</v>
      </c>
      <c r="J179" s="10" t="s">
        <v>187</v>
      </c>
      <c r="K179" s="369" t="s">
        <v>2132</v>
      </c>
      <c r="L179" s="81">
        <v>5.8912037037037041E-3</v>
      </c>
      <c r="M179" s="543"/>
      <c r="N179" s="583"/>
    </row>
    <row r="180" spans="1:14" ht="29.25" customHeight="1">
      <c r="A180" s="538"/>
      <c r="B180" s="564"/>
      <c r="C180" s="532"/>
      <c r="D180" s="22" t="s">
        <v>190</v>
      </c>
      <c r="E180" s="89" t="s">
        <v>2133</v>
      </c>
      <c r="F180" s="377" t="s">
        <v>2130</v>
      </c>
      <c r="G180" s="99" t="s">
        <v>2134</v>
      </c>
      <c r="H180" s="21" t="s">
        <v>565</v>
      </c>
      <c r="I180" s="9" t="s">
        <v>188</v>
      </c>
      <c r="J180" s="10" t="s">
        <v>187</v>
      </c>
      <c r="K180" s="369" t="s">
        <v>2135</v>
      </c>
      <c r="L180" s="81">
        <v>8.611111111111111E-3</v>
      </c>
      <c r="M180" s="543"/>
      <c r="N180" s="583"/>
    </row>
    <row r="181" spans="1:14" ht="29.25" customHeight="1">
      <c r="A181" s="538"/>
      <c r="B181" s="564"/>
      <c r="C181" s="532"/>
      <c r="D181" s="22" t="s">
        <v>195</v>
      </c>
      <c r="E181" s="89" t="s">
        <v>2136</v>
      </c>
      <c r="F181" s="116"/>
      <c r="G181" s="99" t="s">
        <v>2137</v>
      </c>
      <c r="H181" s="21" t="s">
        <v>565</v>
      </c>
      <c r="I181" s="9" t="s">
        <v>188</v>
      </c>
      <c r="J181" s="10" t="s">
        <v>187</v>
      </c>
      <c r="K181" s="125" t="s">
        <v>2138</v>
      </c>
      <c r="L181" s="81">
        <v>1.1597222222222222E-2</v>
      </c>
      <c r="M181" s="543"/>
      <c r="N181" s="583"/>
    </row>
    <row r="182" spans="1:14" ht="29.25" customHeight="1">
      <c r="A182" s="538"/>
      <c r="B182" s="564"/>
      <c r="C182" s="536" t="s">
        <v>256</v>
      </c>
      <c r="D182" s="19" t="s">
        <v>199</v>
      </c>
      <c r="E182" s="89" t="s">
        <v>2139</v>
      </c>
      <c r="F182" s="117"/>
      <c r="G182" s="99" t="s">
        <v>2140</v>
      </c>
      <c r="H182" s="21" t="s">
        <v>565</v>
      </c>
      <c r="I182" s="9" t="s">
        <v>188</v>
      </c>
      <c r="J182" s="28" t="s">
        <v>187</v>
      </c>
      <c r="K182" s="125" t="s">
        <v>2141</v>
      </c>
      <c r="L182" s="81">
        <v>1.3043981481481481E-2</v>
      </c>
      <c r="M182" s="543"/>
      <c r="N182" s="583"/>
    </row>
    <row r="183" spans="1:14" ht="29.25" customHeight="1">
      <c r="A183" s="538"/>
      <c r="B183" s="564"/>
      <c r="C183" s="536"/>
      <c r="D183" s="19" t="s">
        <v>204</v>
      </c>
      <c r="E183" s="89" t="s">
        <v>2142</v>
      </c>
      <c r="F183" s="117"/>
      <c r="G183" s="99" t="s">
        <v>2143</v>
      </c>
      <c r="H183" s="21" t="s">
        <v>565</v>
      </c>
      <c r="I183" s="9" t="s">
        <v>188</v>
      </c>
      <c r="J183" s="28" t="s">
        <v>187</v>
      </c>
      <c r="K183" s="125" t="s">
        <v>2144</v>
      </c>
      <c r="L183" s="81">
        <v>8.4143518518518517E-3</v>
      </c>
      <c r="M183" s="543"/>
      <c r="N183" s="583"/>
    </row>
    <row r="184" spans="1:14" ht="29.25" customHeight="1">
      <c r="A184" s="538"/>
      <c r="B184" s="564"/>
      <c r="C184" s="536" t="s">
        <v>266</v>
      </c>
      <c r="D184" s="19" t="s">
        <v>208</v>
      </c>
      <c r="E184" s="89" t="s">
        <v>2145</v>
      </c>
      <c r="F184" s="117"/>
      <c r="G184" s="99" t="s">
        <v>2146</v>
      </c>
      <c r="H184" s="21" t="s">
        <v>565</v>
      </c>
      <c r="I184" s="9" t="s">
        <v>188</v>
      </c>
      <c r="J184" s="29" t="s">
        <v>187</v>
      </c>
      <c r="K184" s="125" t="s">
        <v>2147</v>
      </c>
      <c r="L184" s="81">
        <v>1.1145833333333334E-2</v>
      </c>
      <c r="M184" s="543"/>
      <c r="N184" s="583"/>
    </row>
    <row r="185" spans="1:14" ht="29.25" customHeight="1">
      <c r="A185" s="538"/>
      <c r="B185" s="564"/>
      <c r="C185" s="536"/>
      <c r="D185" s="19" t="s">
        <v>213</v>
      </c>
      <c r="E185" s="89" t="s">
        <v>2148</v>
      </c>
      <c r="F185" s="31"/>
      <c r="G185" s="99" t="s">
        <v>2149</v>
      </c>
      <c r="H185" s="21" t="s">
        <v>565</v>
      </c>
      <c r="I185" s="9" t="s">
        <v>188</v>
      </c>
      <c r="J185" s="29" t="s">
        <v>187</v>
      </c>
      <c r="K185" s="125" t="s">
        <v>2150</v>
      </c>
      <c r="L185" s="81">
        <v>1.3819444444444445E-2</v>
      </c>
      <c r="M185" s="543"/>
      <c r="N185" s="583"/>
    </row>
    <row r="186" spans="1:14" ht="29.25" customHeight="1">
      <c r="A186" s="538"/>
      <c r="B186" s="564"/>
      <c r="C186" s="536"/>
      <c r="D186" s="19" t="s">
        <v>270</v>
      </c>
      <c r="E186" s="89" t="s">
        <v>2151</v>
      </c>
      <c r="F186" s="31"/>
      <c r="G186" s="99" t="s">
        <v>2152</v>
      </c>
      <c r="H186" s="21" t="s">
        <v>565</v>
      </c>
      <c r="I186" s="9" t="s">
        <v>188</v>
      </c>
      <c r="J186" s="29" t="s">
        <v>187</v>
      </c>
      <c r="K186" s="125" t="s">
        <v>2153</v>
      </c>
      <c r="L186" s="81">
        <v>9.9768518518518513E-3</v>
      </c>
      <c r="M186" s="543"/>
      <c r="N186" s="583"/>
    </row>
    <row r="187" spans="1:14" ht="29.25" customHeight="1">
      <c r="A187" s="538"/>
      <c r="B187" s="564"/>
      <c r="C187" s="536" t="s">
        <v>278</v>
      </c>
      <c r="D187" s="19" t="s">
        <v>274</v>
      </c>
      <c r="E187" s="89" t="s">
        <v>2154</v>
      </c>
      <c r="F187" s="117"/>
      <c r="G187" s="99" t="s">
        <v>2155</v>
      </c>
      <c r="H187" s="21" t="s">
        <v>565</v>
      </c>
      <c r="I187" s="9" t="s">
        <v>188</v>
      </c>
      <c r="J187" s="28" t="s">
        <v>187</v>
      </c>
      <c r="K187" s="125" t="s">
        <v>2156</v>
      </c>
      <c r="L187" s="128">
        <v>1.1689814814814814E-2</v>
      </c>
      <c r="M187" s="543"/>
      <c r="N187" s="583"/>
    </row>
    <row r="188" spans="1:14" ht="29.25" customHeight="1">
      <c r="A188" s="538"/>
      <c r="B188" s="564"/>
      <c r="C188" s="536"/>
      <c r="D188" s="19" t="s">
        <v>279</v>
      </c>
      <c r="E188" s="89" t="s">
        <v>2157</v>
      </c>
      <c r="F188" s="117"/>
      <c r="G188" s="99" t="s">
        <v>2158</v>
      </c>
      <c r="H188" s="21" t="s">
        <v>565</v>
      </c>
      <c r="I188" s="9" t="s">
        <v>188</v>
      </c>
      <c r="J188" s="28" t="s">
        <v>187</v>
      </c>
      <c r="K188" s="125" t="s">
        <v>2159</v>
      </c>
      <c r="L188" s="81">
        <v>1.1516203703703704E-2</v>
      </c>
      <c r="M188" s="543"/>
      <c r="N188" s="583"/>
    </row>
    <row r="189" spans="1:14" ht="29.25" customHeight="1">
      <c r="A189" s="538"/>
      <c r="B189" s="564"/>
      <c r="C189" s="536"/>
      <c r="D189" s="19" t="s">
        <v>283</v>
      </c>
      <c r="E189" s="89" t="s">
        <v>2160</v>
      </c>
      <c r="F189" s="117"/>
      <c r="G189" s="246" t="s">
        <v>2161</v>
      </c>
      <c r="H189" s="21" t="s">
        <v>565</v>
      </c>
      <c r="I189" s="9" t="s">
        <v>188</v>
      </c>
      <c r="J189" s="28" t="s">
        <v>187</v>
      </c>
      <c r="K189" s="125" t="s">
        <v>2162</v>
      </c>
      <c r="L189" s="81">
        <v>1.1793981481481482E-2</v>
      </c>
      <c r="M189" s="543"/>
      <c r="N189" s="583"/>
    </row>
    <row r="190" spans="1:14" ht="29.25" customHeight="1">
      <c r="A190" s="538"/>
      <c r="B190" s="564"/>
      <c r="C190" s="536" t="s">
        <v>291</v>
      </c>
      <c r="D190" s="19" t="s">
        <v>287</v>
      </c>
      <c r="E190" s="89" t="s">
        <v>2163</v>
      </c>
      <c r="F190" s="31"/>
      <c r="G190" s="99" t="s">
        <v>2164</v>
      </c>
      <c r="H190" s="21" t="s">
        <v>565</v>
      </c>
      <c r="I190" s="9" t="s">
        <v>188</v>
      </c>
      <c r="J190" s="28" t="s">
        <v>187</v>
      </c>
      <c r="K190" s="125" t="s">
        <v>2165</v>
      </c>
      <c r="L190" s="81">
        <v>7.4421296296296293E-3</v>
      </c>
      <c r="M190" s="543"/>
      <c r="N190" s="583"/>
    </row>
    <row r="191" spans="1:14" ht="29.25" customHeight="1">
      <c r="A191" s="538"/>
      <c r="B191" s="564"/>
      <c r="C191" s="536"/>
      <c r="D191" s="19" t="s">
        <v>292</v>
      </c>
      <c r="E191" s="89" t="s">
        <v>2166</v>
      </c>
      <c r="F191" s="31"/>
      <c r="G191" s="99" t="s">
        <v>2167</v>
      </c>
      <c r="H191" s="21" t="s">
        <v>565</v>
      </c>
      <c r="I191" s="9" t="s">
        <v>188</v>
      </c>
      <c r="J191" s="28" t="s">
        <v>187</v>
      </c>
      <c r="K191" s="125" t="s">
        <v>2168</v>
      </c>
      <c r="L191" s="81">
        <v>8.1712962962962963E-3</v>
      </c>
      <c r="M191" s="543"/>
      <c r="N191" s="583"/>
    </row>
    <row r="192" spans="1:14" ht="29.25" customHeight="1">
      <c r="A192" s="538"/>
      <c r="B192" s="564"/>
      <c r="C192" s="536"/>
      <c r="D192" s="19" t="s">
        <v>297</v>
      </c>
      <c r="E192" s="89" t="s">
        <v>2169</v>
      </c>
      <c r="F192" s="117"/>
      <c r="G192" s="99" t="s">
        <v>2170</v>
      </c>
      <c r="H192" s="21" t="s">
        <v>565</v>
      </c>
      <c r="I192" s="9" t="s">
        <v>188</v>
      </c>
      <c r="J192" s="28" t="s">
        <v>187</v>
      </c>
      <c r="K192" s="125" t="s">
        <v>2171</v>
      </c>
      <c r="L192" s="81">
        <v>1.2210648148148148E-2</v>
      </c>
      <c r="M192" s="543"/>
      <c r="N192" s="583"/>
    </row>
    <row r="193" spans="1:14" ht="29.25" customHeight="1">
      <c r="A193" s="538"/>
      <c r="B193" s="564"/>
      <c r="C193" s="536" t="s">
        <v>305</v>
      </c>
      <c r="D193" s="19" t="s">
        <v>301</v>
      </c>
      <c r="E193" s="89" t="s">
        <v>2172</v>
      </c>
      <c r="F193" s="372"/>
      <c r="G193" s="99" t="s">
        <v>2173</v>
      </c>
      <c r="H193" s="21" t="s">
        <v>565</v>
      </c>
      <c r="I193" s="9" t="s">
        <v>188</v>
      </c>
      <c r="J193" s="28" t="s">
        <v>187</v>
      </c>
      <c r="K193" s="125" t="s">
        <v>2174</v>
      </c>
      <c r="L193" s="81">
        <v>6.9907407407407409E-3</v>
      </c>
      <c r="M193" s="543"/>
      <c r="N193" s="583"/>
    </row>
    <row r="194" spans="1:14" ht="29.25" customHeight="1">
      <c r="A194" s="538"/>
      <c r="B194" s="564"/>
      <c r="C194" s="536"/>
      <c r="D194" s="19" t="s">
        <v>306</v>
      </c>
      <c r="E194" s="89" t="s">
        <v>2175</v>
      </c>
      <c r="F194" s="372"/>
      <c r="G194" s="99" t="s">
        <v>2176</v>
      </c>
      <c r="H194" s="21" t="s">
        <v>565</v>
      </c>
      <c r="I194" s="9" t="s">
        <v>188</v>
      </c>
      <c r="J194" s="28" t="s">
        <v>187</v>
      </c>
      <c r="K194" s="125" t="s">
        <v>2177</v>
      </c>
      <c r="L194" s="81">
        <v>1.5601851851851851E-2</v>
      </c>
      <c r="M194" s="543"/>
      <c r="N194" s="583"/>
    </row>
    <row r="195" spans="1:14" ht="29.25" customHeight="1">
      <c r="A195" s="538"/>
      <c r="B195" s="564"/>
      <c r="C195" s="536"/>
      <c r="D195" s="19" t="s">
        <v>425</v>
      </c>
      <c r="E195" s="89" t="s">
        <v>2178</v>
      </c>
      <c r="F195" s="372"/>
      <c r="G195" s="99" t="s">
        <v>2179</v>
      </c>
      <c r="H195" s="21" t="s">
        <v>565</v>
      </c>
      <c r="I195" s="9" t="s">
        <v>188</v>
      </c>
      <c r="J195" s="28" t="s">
        <v>187</v>
      </c>
      <c r="K195" s="125" t="s">
        <v>2180</v>
      </c>
      <c r="L195" s="81">
        <v>1.2650462962962962E-2</v>
      </c>
      <c r="M195" s="543"/>
      <c r="N195" s="583"/>
    </row>
    <row r="196" spans="1:14" ht="29.25" customHeight="1">
      <c r="A196" s="538"/>
      <c r="B196" s="564"/>
      <c r="C196" s="602"/>
      <c r="D196" s="19" t="s">
        <v>429</v>
      </c>
      <c r="E196" s="89" t="s">
        <v>2181</v>
      </c>
      <c r="F196" s="36"/>
      <c r="G196" s="99" t="s">
        <v>2182</v>
      </c>
      <c r="H196" s="21" t="s">
        <v>565</v>
      </c>
      <c r="I196" s="9" t="s">
        <v>188</v>
      </c>
      <c r="J196" s="110" t="s">
        <v>187</v>
      </c>
      <c r="K196" s="125" t="s">
        <v>2183</v>
      </c>
      <c r="L196" s="81">
        <v>1.3310185185185185E-2</v>
      </c>
      <c r="M196" s="543"/>
      <c r="N196" s="583"/>
    </row>
    <row r="197" spans="1:14" ht="29.25" customHeight="1">
      <c r="A197" s="538"/>
      <c r="B197" s="564"/>
      <c r="C197" s="533" t="s">
        <v>365</v>
      </c>
      <c r="D197" s="19" t="s">
        <v>433</v>
      </c>
      <c r="E197" s="89" t="s">
        <v>2184</v>
      </c>
      <c r="F197" s="36"/>
      <c r="G197" s="99" t="s">
        <v>2185</v>
      </c>
      <c r="H197" s="21" t="s">
        <v>565</v>
      </c>
      <c r="I197" s="9" t="s">
        <v>188</v>
      </c>
      <c r="J197" s="28" t="s">
        <v>187</v>
      </c>
      <c r="K197" s="125" t="s">
        <v>2186</v>
      </c>
      <c r="L197" s="81">
        <v>1.4108796296296296E-2</v>
      </c>
      <c r="M197" s="543"/>
      <c r="N197" s="583"/>
    </row>
    <row r="198" spans="1:14" ht="29.25" customHeight="1">
      <c r="A198" s="538"/>
      <c r="B198" s="564"/>
      <c r="C198" s="532"/>
      <c r="D198" s="19" t="s">
        <v>437</v>
      </c>
      <c r="E198" s="89" t="s">
        <v>2187</v>
      </c>
      <c r="F198" s="36"/>
      <c r="G198" s="99" t="s">
        <v>2188</v>
      </c>
      <c r="H198" s="21" t="s">
        <v>565</v>
      </c>
      <c r="I198" s="9" t="s">
        <v>188</v>
      </c>
      <c r="J198" s="28" t="s">
        <v>187</v>
      </c>
      <c r="K198" s="125" t="s">
        <v>2189</v>
      </c>
      <c r="L198" s="81">
        <v>8.6805555555555559E-3</v>
      </c>
      <c r="M198" s="543"/>
      <c r="N198" s="583"/>
    </row>
    <row r="199" spans="1:14" ht="29.25" customHeight="1">
      <c r="A199" s="566"/>
      <c r="B199" s="570"/>
      <c r="C199" s="532"/>
      <c r="D199" s="19" t="s">
        <v>639</v>
      </c>
      <c r="E199" s="89" t="s">
        <v>2190</v>
      </c>
      <c r="F199" s="36"/>
      <c r="G199" s="99" t="s">
        <v>2191</v>
      </c>
      <c r="H199" s="21" t="s">
        <v>565</v>
      </c>
      <c r="I199" s="9" t="s">
        <v>188</v>
      </c>
      <c r="J199" s="28" t="s">
        <v>187</v>
      </c>
      <c r="K199" s="125" t="s">
        <v>2192</v>
      </c>
      <c r="L199" s="81">
        <v>1.4050925925925927E-2</v>
      </c>
      <c r="M199" s="569"/>
      <c r="N199" s="583"/>
    </row>
    <row r="200" spans="1:14">
      <c r="A200" s="13"/>
      <c r="B200" s="14"/>
      <c r="C200" s="15"/>
      <c r="D200" s="15"/>
      <c r="E200" s="16"/>
      <c r="F200" s="371"/>
      <c r="G200" s="15"/>
      <c r="H200" s="15"/>
      <c r="I200" s="15"/>
      <c r="J200" s="16"/>
      <c r="K200" s="16"/>
      <c r="L200" s="16"/>
      <c r="M200" s="15"/>
      <c r="N200" s="15"/>
    </row>
  </sheetData>
  <autoFilter ref="G1:G200" xr:uid="{70AE5E40-63E9-4E6C-AC0B-C807962FDA35}"/>
  <mergeCells count="98">
    <mergeCell ref="N54:N75"/>
    <mergeCell ref="C58:C60"/>
    <mergeCell ref="C61:C63"/>
    <mergeCell ref="C70:C72"/>
    <mergeCell ref="C73:C75"/>
    <mergeCell ref="N11:N29"/>
    <mergeCell ref="C11:C13"/>
    <mergeCell ref="N31:N52"/>
    <mergeCell ref="C35:C37"/>
    <mergeCell ref="C38:C40"/>
    <mergeCell ref="C41:C43"/>
    <mergeCell ref="C44:C46"/>
    <mergeCell ref="C47:C49"/>
    <mergeCell ref="C50:C52"/>
    <mergeCell ref="C31:C34"/>
    <mergeCell ref="M31:M52"/>
    <mergeCell ref="L11:L29"/>
    <mergeCell ref="N100:N121"/>
    <mergeCell ref="C104:C106"/>
    <mergeCell ref="C107:C109"/>
    <mergeCell ref="C110:C112"/>
    <mergeCell ref="C113:C115"/>
    <mergeCell ref="C116:C118"/>
    <mergeCell ref="N77:N98"/>
    <mergeCell ref="C81:C83"/>
    <mergeCell ref="C84:C86"/>
    <mergeCell ref="C87:C89"/>
    <mergeCell ref="C90:C92"/>
    <mergeCell ref="C93:C95"/>
    <mergeCell ref="C96:C98"/>
    <mergeCell ref="C77:C80"/>
    <mergeCell ref="M77:M98"/>
    <mergeCell ref="N2:N9"/>
    <mergeCell ref="C14:C15"/>
    <mergeCell ref="C197:C199"/>
    <mergeCell ref="C174:C176"/>
    <mergeCell ref="A178:A199"/>
    <mergeCell ref="B178:B199"/>
    <mergeCell ref="C178:C181"/>
    <mergeCell ref="M178:M199"/>
    <mergeCell ref="N178:N199"/>
    <mergeCell ref="A156:A176"/>
    <mergeCell ref="B156:B176"/>
    <mergeCell ref="C156:C159"/>
    <mergeCell ref="M156:M176"/>
    <mergeCell ref="N156:N176"/>
    <mergeCell ref="C160:C161"/>
    <mergeCell ref="C162:C164"/>
    <mergeCell ref="C165:C167"/>
    <mergeCell ref="C168:C169"/>
    <mergeCell ref="C170:C172"/>
    <mergeCell ref="N140:N154"/>
    <mergeCell ref="N123:N138"/>
    <mergeCell ref="M140:M154"/>
    <mergeCell ref="C147:C148"/>
    <mergeCell ref="C151:C152"/>
    <mergeCell ref="C149:C150"/>
    <mergeCell ref="M2:M9"/>
    <mergeCell ref="A54:A75"/>
    <mergeCell ref="B54:B75"/>
    <mergeCell ref="C54:C57"/>
    <mergeCell ref="M54:M75"/>
    <mergeCell ref="A2:A9"/>
    <mergeCell ref="B2:B9"/>
    <mergeCell ref="C2:C3"/>
    <mergeCell ref="C16:C18"/>
    <mergeCell ref="A11:A29"/>
    <mergeCell ref="B11:B29"/>
    <mergeCell ref="C64:C66"/>
    <mergeCell ref="C67:C69"/>
    <mergeCell ref="A31:A52"/>
    <mergeCell ref="B31:B52"/>
    <mergeCell ref="A123:A138"/>
    <mergeCell ref="B123:B138"/>
    <mergeCell ref="C123:C126"/>
    <mergeCell ref="M123:M138"/>
    <mergeCell ref="C127:C129"/>
    <mergeCell ref="C130:C132"/>
    <mergeCell ref="C133:C135"/>
    <mergeCell ref="C136:C138"/>
    <mergeCell ref="A100:A121"/>
    <mergeCell ref="B100:B121"/>
    <mergeCell ref="C100:C103"/>
    <mergeCell ref="M100:M121"/>
    <mergeCell ref="A77:A98"/>
    <mergeCell ref="B77:B98"/>
    <mergeCell ref="C119:C121"/>
    <mergeCell ref="C182:C183"/>
    <mergeCell ref="C184:C186"/>
    <mergeCell ref="C187:C189"/>
    <mergeCell ref="C190:C192"/>
    <mergeCell ref="C193:C196"/>
    <mergeCell ref="A140:A154"/>
    <mergeCell ref="B140:B154"/>
    <mergeCell ref="C153:C154"/>
    <mergeCell ref="C141:C142"/>
    <mergeCell ref="C143:C144"/>
    <mergeCell ref="C145:C146"/>
  </mergeCells>
  <conditionalFormatting sqref="I2:I9">
    <cfRule type="containsText" dxfId="464" priority="393" operator="containsText" text="em edição">
      <formula>NOT(ISERROR(SEARCH("em edição",I2)))</formula>
    </cfRule>
    <cfRule type="containsText" dxfId="463" priority="394" operator="containsText" text="procedimento interno">
      <formula>NOT(ISERROR(SEARCH("procedimento interno",I2)))</formula>
    </cfRule>
    <cfRule type="containsText" dxfId="462" priority="395" operator="containsText" text="finalizado">
      <formula>NOT(ISERROR(SEARCH("finalizado",I2)))</formula>
    </cfRule>
    <cfRule type="containsText" dxfId="461" priority="396" operator="containsText" text="em correção">
      <formula>NOT(ISERROR(SEARCH("em correção",I2)))</formula>
    </cfRule>
    <cfRule type="containsText" dxfId="460" priority="397" operator="containsText" text="editado pela TV">
      <formula>NOT(ISERROR(SEARCH("editado pela TV",I2)))</formula>
    </cfRule>
    <cfRule type="containsText" dxfId="459" priority="398" operator="containsText" text="em correção">
      <formula>NOT(ISERROR(SEARCH("em correção",I2)))</formula>
    </cfRule>
    <cfRule type="containsText" dxfId="458" priority="399" operator="containsText" text="enviado pelo prof">
      <formula>NOT(ISERROR(SEARCH("enviado pelo prof",I2)))</formula>
    </cfRule>
    <cfRule type="containsText" dxfId="457" priority="400" operator="containsText" text="vai gravar">
      <formula>NOT(ISERROR(SEARCH("vai gravar",I2)))</formula>
    </cfRule>
  </conditionalFormatting>
  <conditionalFormatting sqref="J10">
    <cfRule type="containsText" dxfId="456" priority="401" operator="containsText" text="em correção">
      <formula>NOT(ISERROR(SEARCH("em correção",J10)))</formula>
    </cfRule>
    <cfRule type="containsText" dxfId="455" priority="402" operator="containsText" text="em edição">
      <formula>NOT(ISERROR(SEARCH("em edição",J10)))</formula>
    </cfRule>
    <cfRule type="containsText" dxfId="454" priority="403" operator="containsText" text="procedimento interno">
      <formula>NOT(ISERROR(SEARCH("procedimento interno",J10)))</formula>
    </cfRule>
    <cfRule type="containsText" dxfId="453" priority="404" operator="containsText" text="finalizado">
      <formula>NOT(ISERROR(SEARCH("finalizado",J10)))</formula>
    </cfRule>
    <cfRule type="containsText" dxfId="452" priority="405" operator="containsText" text="editado pela TV">
      <formula>NOT(ISERROR(SEARCH("editado pela TV",J10)))</formula>
    </cfRule>
    <cfRule type="containsText" dxfId="451" priority="406" operator="containsText" text="em correção">
      <formula>NOT(ISERROR(SEARCH("em correção",J10)))</formula>
    </cfRule>
    <cfRule type="containsText" dxfId="450" priority="407" operator="containsText" text="enviado pelo prof">
      <formula>NOT(ISERROR(SEARCH("enviado pelo prof",J10)))</formula>
    </cfRule>
    <cfRule type="containsText" dxfId="449" priority="408" operator="containsText" text="vai gravar">
      <formula>NOT(ISERROR(SEARCH("vai gravar",J10)))</formula>
    </cfRule>
  </conditionalFormatting>
  <conditionalFormatting sqref="I11:I29">
    <cfRule type="containsText" dxfId="448" priority="377" operator="containsText" text="em edição">
      <formula>NOT(ISERROR(SEARCH("em edição",I11)))</formula>
    </cfRule>
    <cfRule type="containsText" dxfId="447" priority="378" operator="containsText" text="procedimento interno">
      <formula>NOT(ISERROR(SEARCH("procedimento interno",I11)))</formula>
    </cfRule>
    <cfRule type="containsText" dxfId="446" priority="379" operator="containsText" text="finalizado">
      <formula>NOT(ISERROR(SEARCH("finalizado",I11)))</formula>
    </cfRule>
    <cfRule type="containsText" dxfId="445" priority="380" operator="containsText" text="em correção">
      <formula>NOT(ISERROR(SEARCH("em correção",I11)))</formula>
    </cfRule>
    <cfRule type="containsText" dxfId="444" priority="381" operator="containsText" text="editado pela TV">
      <formula>NOT(ISERROR(SEARCH("editado pela TV",I11)))</formula>
    </cfRule>
    <cfRule type="containsText" dxfId="443" priority="382" operator="containsText" text="em correção">
      <formula>NOT(ISERROR(SEARCH("em correção",I11)))</formula>
    </cfRule>
    <cfRule type="containsText" dxfId="442" priority="383" operator="containsText" text="enviado pelo prof">
      <formula>NOT(ISERROR(SEARCH("enviado pelo prof",I11)))</formula>
    </cfRule>
    <cfRule type="containsText" dxfId="441" priority="384" operator="containsText" text="vai gravar">
      <formula>NOT(ISERROR(SEARCH("vai gravar",I11)))</formula>
    </cfRule>
  </conditionalFormatting>
  <conditionalFormatting sqref="J30">
    <cfRule type="containsText" dxfId="440" priority="385" operator="containsText" text="em correção">
      <formula>NOT(ISERROR(SEARCH("em correção",J30)))</formula>
    </cfRule>
    <cfRule type="containsText" dxfId="439" priority="386" operator="containsText" text="em edição">
      <formula>NOT(ISERROR(SEARCH("em edição",J30)))</formula>
    </cfRule>
    <cfRule type="containsText" dxfId="438" priority="387" operator="containsText" text="procedimento interno">
      <formula>NOT(ISERROR(SEARCH("procedimento interno",J30)))</formula>
    </cfRule>
    <cfRule type="containsText" dxfId="437" priority="388" operator="containsText" text="finalizado">
      <formula>NOT(ISERROR(SEARCH("finalizado",J30)))</formula>
    </cfRule>
    <cfRule type="containsText" dxfId="436" priority="389" operator="containsText" text="editado pela TV">
      <formula>NOT(ISERROR(SEARCH("editado pela TV",J30)))</formula>
    </cfRule>
    <cfRule type="containsText" dxfId="435" priority="390" operator="containsText" text="em correção">
      <formula>NOT(ISERROR(SEARCH("em correção",J30)))</formula>
    </cfRule>
    <cfRule type="containsText" dxfId="434" priority="391" operator="containsText" text="enviado pelo prof">
      <formula>NOT(ISERROR(SEARCH("enviado pelo prof",J30)))</formula>
    </cfRule>
    <cfRule type="containsText" dxfId="433" priority="392" operator="containsText" text="vai gravar">
      <formula>NOT(ISERROR(SEARCH("vai gravar",J30)))</formula>
    </cfRule>
  </conditionalFormatting>
  <conditionalFormatting sqref="J53">
    <cfRule type="containsText" dxfId="432" priority="369" operator="containsText" text="em correção">
      <formula>NOT(ISERROR(SEARCH("em correção",J53)))</formula>
    </cfRule>
    <cfRule type="containsText" dxfId="431" priority="370" operator="containsText" text="em edição">
      <formula>NOT(ISERROR(SEARCH("em edição",J53)))</formula>
    </cfRule>
    <cfRule type="containsText" dxfId="430" priority="371" operator="containsText" text="procedimento interno">
      <formula>NOT(ISERROR(SEARCH("procedimento interno",J53)))</formula>
    </cfRule>
    <cfRule type="containsText" dxfId="429" priority="372" operator="containsText" text="finalizado">
      <formula>NOT(ISERROR(SEARCH("finalizado",J53)))</formula>
    </cfRule>
    <cfRule type="containsText" dxfId="428" priority="373" operator="containsText" text="editado pela TV">
      <formula>NOT(ISERROR(SEARCH("editado pela TV",J53)))</formula>
    </cfRule>
    <cfRule type="containsText" dxfId="427" priority="374" operator="containsText" text="em correção">
      <formula>NOT(ISERROR(SEARCH("em correção",J53)))</formula>
    </cfRule>
    <cfRule type="containsText" dxfId="426" priority="375" operator="containsText" text="enviado pelo prof">
      <formula>NOT(ISERROR(SEARCH("enviado pelo prof",J53)))</formula>
    </cfRule>
    <cfRule type="containsText" dxfId="425" priority="376" operator="containsText" text="vai gravar">
      <formula>NOT(ISERROR(SEARCH("vai gravar",J53)))</formula>
    </cfRule>
  </conditionalFormatting>
  <conditionalFormatting sqref="I54:I75">
    <cfRule type="containsText" dxfId="424" priority="345" operator="containsText" text="em edição">
      <formula>NOT(ISERROR(SEARCH("em edição",I54)))</formula>
    </cfRule>
    <cfRule type="containsText" dxfId="423" priority="346" operator="containsText" text="procedimento interno">
      <formula>NOT(ISERROR(SEARCH("procedimento interno",I54)))</formula>
    </cfRule>
    <cfRule type="containsText" dxfId="422" priority="347" operator="containsText" text="finalizado">
      <formula>NOT(ISERROR(SEARCH("finalizado",I54)))</formula>
    </cfRule>
    <cfRule type="containsText" dxfId="421" priority="348" operator="containsText" text="em correção">
      <formula>NOT(ISERROR(SEARCH("em correção",I54)))</formula>
    </cfRule>
    <cfRule type="containsText" dxfId="420" priority="349" operator="containsText" text="editado pela TV">
      <formula>NOT(ISERROR(SEARCH("editado pela TV",I54)))</formula>
    </cfRule>
    <cfRule type="containsText" dxfId="419" priority="350" operator="containsText" text="em correção">
      <formula>NOT(ISERROR(SEARCH("em correção",I54)))</formula>
    </cfRule>
    <cfRule type="containsText" dxfId="418" priority="351" operator="containsText" text="enviado pelo prof">
      <formula>NOT(ISERROR(SEARCH("enviado pelo prof",I54)))</formula>
    </cfRule>
    <cfRule type="containsText" dxfId="417" priority="352" operator="containsText" text="vai gravar">
      <formula>NOT(ISERROR(SEARCH("vai gravar",I54)))</formula>
    </cfRule>
  </conditionalFormatting>
  <conditionalFormatting sqref="J76">
    <cfRule type="containsText" dxfId="416" priority="353" operator="containsText" text="em correção">
      <formula>NOT(ISERROR(SEARCH("em correção",J76)))</formula>
    </cfRule>
    <cfRule type="containsText" dxfId="415" priority="354" operator="containsText" text="em edição">
      <formula>NOT(ISERROR(SEARCH("em edição",J76)))</formula>
    </cfRule>
    <cfRule type="containsText" dxfId="414" priority="355" operator="containsText" text="procedimento interno">
      <formula>NOT(ISERROR(SEARCH("procedimento interno",J76)))</formula>
    </cfRule>
    <cfRule type="containsText" dxfId="413" priority="356" operator="containsText" text="finalizado">
      <formula>NOT(ISERROR(SEARCH("finalizado",J76)))</formula>
    </cfRule>
    <cfRule type="containsText" dxfId="412" priority="357" operator="containsText" text="editado pela TV">
      <formula>NOT(ISERROR(SEARCH("editado pela TV",J76)))</formula>
    </cfRule>
    <cfRule type="containsText" dxfId="411" priority="358" operator="containsText" text="em correção">
      <formula>NOT(ISERROR(SEARCH("em correção",J76)))</formula>
    </cfRule>
    <cfRule type="containsText" dxfId="410" priority="359" operator="containsText" text="enviado pelo prof">
      <formula>NOT(ISERROR(SEARCH("enviado pelo prof",J76)))</formula>
    </cfRule>
    <cfRule type="containsText" dxfId="409" priority="360" operator="containsText" text="vai gravar">
      <formula>NOT(ISERROR(SEARCH("vai gravar",J76)))</formula>
    </cfRule>
  </conditionalFormatting>
  <conditionalFormatting sqref="J99">
    <cfRule type="containsText" dxfId="408" priority="337" operator="containsText" text="em correção">
      <formula>NOT(ISERROR(SEARCH("em correção",J99)))</formula>
    </cfRule>
    <cfRule type="containsText" dxfId="407" priority="338" operator="containsText" text="em edição">
      <formula>NOT(ISERROR(SEARCH("em edição",J99)))</formula>
    </cfRule>
    <cfRule type="containsText" dxfId="406" priority="339" operator="containsText" text="procedimento interno">
      <formula>NOT(ISERROR(SEARCH("procedimento interno",J99)))</formula>
    </cfRule>
    <cfRule type="containsText" dxfId="405" priority="340" operator="containsText" text="finalizado">
      <formula>NOT(ISERROR(SEARCH("finalizado",J99)))</formula>
    </cfRule>
    <cfRule type="containsText" dxfId="404" priority="341" operator="containsText" text="editado pela TV">
      <formula>NOT(ISERROR(SEARCH("editado pela TV",J99)))</formula>
    </cfRule>
    <cfRule type="containsText" dxfId="403" priority="342" operator="containsText" text="em correção">
      <formula>NOT(ISERROR(SEARCH("em correção",J99)))</formula>
    </cfRule>
    <cfRule type="containsText" dxfId="402" priority="343" operator="containsText" text="enviado pelo prof">
      <formula>NOT(ISERROR(SEARCH("enviado pelo prof",J99)))</formula>
    </cfRule>
    <cfRule type="containsText" dxfId="401" priority="344" operator="containsText" text="vai gravar">
      <formula>NOT(ISERROR(SEARCH("vai gravar",J99)))</formula>
    </cfRule>
  </conditionalFormatting>
  <conditionalFormatting sqref="I100:I121">
    <cfRule type="containsText" dxfId="400" priority="313" operator="containsText" text="em edição">
      <formula>NOT(ISERROR(SEARCH("em edição",I100)))</formula>
    </cfRule>
    <cfRule type="containsText" dxfId="399" priority="314" operator="containsText" text="procedimento interno">
      <formula>NOT(ISERROR(SEARCH("procedimento interno",I100)))</formula>
    </cfRule>
    <cfRule type="containsText" dxfId="398" priority="315" operator="containsText" text="finalizado">
      <formula>NOT(ISERROR(SEARCH("finalizado",I100)))</formula>
    </cfRule>
    <cfRule type="containsText" dxfId="397" priority="316" operator="containsText" text="em correção">
      <formula>NOT(ISERROR(SEARCH("em correção",I100)))</formula>
    </cfRule>
    <cfRule type="containsText" dxfId="396" priority="317" operator="containsText" text="editado pela TV">
      <formula>NOT(ISERROR(SEARCH("editado pela TV",I100)))</formula>
    </cfRule>
    <cfRule type="containsText" dxfId="395" priority="318" operator="containsText" text="em correção">
      <formula>NOT(ISERROR(SEARCH("em correção",I100)))</formula>
    </cfRule>
    <cfRule type="containsText" dxfId="394" priority="319" operator="containsText" text="enviado pelo prof">
      <formula>NOT(ISERROR(SEARCH("enviado pelo prof",I100)))</formula>
    </cfRule>
    <cfRule type="containsText" dxfId="393" priority="320" operator="containsText" text="vai gravar">
      <formula>NOT(ISERROR(SEARCH("vai gravar",I100)))</formula>
    </cfRule>
  </conditionalFormatting>
  <conditionalFormatting sqref="J122">
    <cfRule type="containsText" dxfId="392" priority="321" operator="containsText" text="em correção">
      <formula>NOT(ISERROR(SEARCH("em correção",J122)))</formula>
    </cfRule>
    <cfRule type="containsText" dxfId="391" priority="322" operator="containsText" text="em edição">
      <formula>NOT(ISERROR(SEARCH("em edição",J122)))</formula>
    </cfRule>
    <cfRule type="containsText" dxfId="390" priority="323" operator="containsText" text="procedimento interno">
      <formula>NOT(ISERROR(SEARCH("procedimento interno",J122)))</formula>
    </cfRule>
    <cfRule type="containsText" dxfId="389" priority="324" operator="containsText" text="finalizado">
      <formula>NOT(ISERROR(SEARCH("finalizado",J122)))</formula>
    </cfRule>
    <cfRule type="containsText" dxfId="388" priority="325" operator="containsText" text="editado pela TV">
      <formula>NOT(ISERROR(SEARCH("editado pela TV",J122)))</formula>
    </cfRule>
    <cfRule type="containsText" dxfId="387" priority="326" operator="containsText" text="em correção">
      <formula>NOT(ISERROR(SEARCH("em correção",J122)))</formula>
    </cfRule>
    <cfRule type="containsText" dxfId="386" priority="327" operator="containsText" text="enviado pelo prof">
      <formula>NOT(ISERROR(SEARCH("enviado pelo prof",J122)))</formula>
    </cfRule>
    <cfRule type="containsText" dxfId="385" priority="328" operator="containsText" text="vai gravar">
      <formula>NOT(ISERROR(SEARCH("vai gravar",J122)))</formula>
    </cfRule>
  </conditionalFormatting>
  <conditionalFormatting sqref="J139">
    <cfRule type="containsText" dxfId="384" priority="305" operator="containsText" text="em correção">
      <formula>NOT(ISERROR(SEARCH("em correção",J139)))</formula>
    </cfRule>
    <cfRule type="containsText" dxfId="383" priority="306" operator="containsText" text="em edição">
      <formula>NOT(ISERROR(SEARCH("em edição",J139)))</formula>
    </cfRule>
    <cfRule type="containsText" dxfId="382" priority="307" operator="containsText" text="procedimento interno">
      <formula>NOT(ISERROR(SEARCH("procedimento interno",J139)))</formula>
    </cfRule>
    <cfRule type="containsText" dxfId="381" priority="308" operator="containsText" text="finalizado">
      <formula>NOT(ISERROR(SEARCH("finalizado",J139)))</formula>
    </cfRule>
    <cfRule type="containsText" dxfId="380" priority="309" operator="containsText" text="editado pela TV">
      <formula>NOT(ISERROR(SEARCH("editado pela TV",J139)))</formula>
    </cfRule>
    <cfRule type="containsText" dxfId="379" priority="310" operator="containsText" text="em correção">
      <formula>NOT(ISERROR(SEARCH("em correção",J139)))</formula>
    </cfRule>
    <cfRule type="containsText" dxfId="378" priority="311" operator="containsText" text="enviado pelo prof">
      <formula>NOT(ISERROR(SEARCH("enviado pelo prof",J139)))</formula>
    </cfRule>
    <cfRule type="containsText" dxfId="377" priority="312" operator="containsText" text="vai gravar">
      <formula>NOT(ISERROR(SEARCH("vai gravar",J139)))</formula>
    </cfRule>
  </conditionalFormatting>
  <conditionalFormatting sqref="I140:I154">
    <cfRule type="containsText" dxfId="376" priority="281" operator="containsText" text="em edição">
      <formula>NOT(ISERROR(SEARCH("em edição",I140)))</formula>
    </cfRule>
    <cfRule type="containsText" dxfId="375" priority="282" operator="containsText" text="procedimento interno">
      <formula>NOT(ISERROR(SEARCH("procedimento interno",I140)))</formula>
    </cfRule>
    <cfRule type="containsText" dxfId="374" priority="283" operator="containsText" text="finalizado">
      <formula>NOT(ISERROR(SEARCH("finalizado",I140)))</formula>
    </cfRule>
    <cfRule type="containsText" dxfId="373" priority="284" operator="containsText" text="em correção">
      <formula>NOT(ISERROR(SEARCH("em correção",I140)))</formula>
    </cfRule>
    <cfRule type="containsText" dxfId="372" priority="285" operator="containsText" text="editado pela TV">
      <formula>NOT(ISERROR(SEARCH("editado pela TV",I140)))</formula>
    </cfRule>
    <cfRule type="containsText" dxfId="371" priority="286" operator="containsText" text="em correção">
      <formula>NOT(ISERROR(SEARCH("em correção",I140)))</formula>
    </cfRule>
    <cfRule type="containsText" dxfId="370" priority="287" operator="containsText" text="enviado pelo prof">
      <formula>NOT(ISERROR(SEARCH("enviado pelo prof",I140)))</formula>
    </cfRule>
    <cfRule type="containsText" dxfId="369" priority="288" operator="containsText" text="vai gravar">
      <formula>NOT(ISERROR(SEARCH("vai gravar",I140)))</formula>
    </cfRule>
  </conditionalFormatting>
  <conditionalFormatting sqref="J155">
    <cfRule type="containsText" dxfId="368" priority="289" operator="containsText" text="em correção">
      <formula>NOT(ISERROR(SEARCH("em correção",J155)))</formula>
    </cfRule>
    <cfRule type="containsText" dxfId="367" priority="290" operator="containsText" text="em edição">
      <formula>NOT(ISERROR(SEARCH("em edição",J155)))</formula>
    </cfRule>
    <cfRule type="containsText" dxfId="366" priority="291" operator="containsText" text="procedimento interno">
      <formula>NOT(ISERROR(SEARCH("procedimento interno",J155)))</formula>
    </cfRule>
    <cfRule type="containsText" dxfId="365" priority="292" operator="containsText" text="finalizado">
      <formula>NOT(ISERROR(SEARCH("finalizado",J155)))</formula>
    </cfRule>
    <cfRule type="containsText" dxfId="364" priority="293" operator="containsText" text="editado pela TV">
      <formula>NOT(ISERROR(SEARCH("editado pela TV",J155)))</formula>
    </cfRule>
    <cfRule type="containsText" dxfId="363" priority="294" operator="containsText" text="em correção">
      <formula>NOT(ISERROR(SEARCH("em correção",J155)))</formula>
    </cfRule>
    <cfRule type="containsText" dxfId="362" priority="295" operator="containsText" text="enviado pelo prof">
      <formula>NOT(ISERROR(SEARCH("enviado pelo prof",J155)))</formula>
    </cfRule>
    <cfRule type="containsText" dxfId="361" priority="296" operator="containsText" text="vai gravar">
      <formula>NOT(ISERROR(SEARCH("vai gravar",J155)))</formula>
    </cfRule>
  </conditionalFormatting>
  <conditionalFormatting sqref="J177">
    <cfRule type="containsText" dxfId="360" priority="273" operator="containsText" text="em correção">
      <formula>NOT(ISERROR(SEARCH("em correção",J177)))</formula>
    </cfRule>
    <cfRule type="containsText" dxfId="359" priority="274" operator="containsText" text="em edição">
      <formula>NOT(ISERROR(SEARCH("em edição",J177)))</formula>
    </cfRule>
    <cfRule type="containsText" dxfId="358" priority="275" operator="containsText" text="procedimento interno">
      <formula>NOT(ISERROR(SEARCH("procedimento interno",J177)))</formula>
    </cfRule>
    <cfRule type="containsText" dxfId="357" priority="276" operator="containsText" text="finalizado">
      <formula>NOT(ISERROR(SEARCH("finalizado",J177)))</formula>
    </cfRule>
    <cfRule type="containsText" dxfId="356" priority="277" operator="containsText" text="editado pela TV">
      <formula>NOT(ISERROR(SEARCH("editado pela TV",J177)))</formula>
    </cfRule>
    <cfRule type="containsText" dxfId="355" priority="278" operator="containsText" text="em correção">
      <formula>NOT(ISERROR(SEARCH("em correção",J177)))</formula>
    </cfRule>
    <cfRule type="containsText" dxfId="354" priority="279" operator="containsText" text="enviado pelo prof">
      <formula>NOT(ISERROR(SEARCH("enviado pelo prof",J177)))</formula>
    </cfRule>
    <cfRule type="containsText" dxfId="353" priority="280" operator="containsText" text="vai gravar">
      <formula>NOT(ISERROR(SEARCH("vai gravar",J177)))</formula>
    </cfRule>
  </conditionalFormatting>
  <conditionalFormatting sqref="J200">
    <cfRule type="containsText" dxfId="352" priority="257" operator="containsText" text="em correção">
      <formula>NOT(ISERROR(SEARCH("em correção",J200)))</formula>
    </cfRule>
    <cfRule type="containsText" dxfId="351" priority="258" operator="containsText" text="em edição">
      <formula>NOT(ISERROR(SEARCH("em edição",J200)))</formula>
    </cfRule>
    <cfRule type="containsText" dxfId="350" priority="259" operator="containsText" text="procedimento interno">
      <formula>NOT(ISERROR(SEARCH("procedimento interno",J200)))</formula>
    </cfRule>
    <cfRule type="containsText" dxfId="349" priority="260" operator="containsText" text="finalizado">
      <formula>NOT(ISERROR(SEARCH("finalizado",J200)))</formula>
    </cfRule>
    <cfRule type="containsText" dxfId="348" priority="261" operator="containsText" text="editado pela TV">
      <formula>NOT(ISERROR(SEARCH("editado pela TV",J200)))</formula>
    </cfRule>
    <cfRule type="containsText" dxfId="347" priority="262" operator="containsText" text="em correção">
      <formula>NOT(ISERROR(SEARCH("em correção",J200)))</formula>
    </cfRule>
    <cfRule type="containsText" dxfId="346" priority="263" operator="containsText" text="enviado pelo prof">
      <formula>NOT(ISERROR(SEARCH("enviado pelo prof",J200)))</formula>
    </cfRule>
    <cfRule type="containsText" dxfId="345" priority="264" operator="containsText" text="vai gravar">
      <formula>NOT(ISERROR(SEARCH("vai gravar",J200)))</formula>
    </cfRule>
  </conditionalFormatting>
  <conditionalFormatting sqref="I156:I176">
    <cfRule type="containsText" dxfId="344" priority="241" operator="containsText" text="em edição">
      <formula>NOT(ISERROR(SEARCH("em edição",I156)))</formula>
    </cfRule>
    <cfRule type="containsText" dxfId="343" priority="242" operator="containsText" text="procedimento interno">
      <formula>NOT(ISERROR(SEARCH("procedimento interno",I156)))</formula>
    </cfRule>
    <cfRule type="containsText" dxfId="342" priority="243" operator="containsText" text="finalizado">
      <formula>NOT(ISERROR(SEARCH("finalizado",I156)))</formula>
    </cfRule>
    <cfRule type="containsText" dxfId="341" priority="244" operator="containsText" text="em correção">
      <formula>NOT(ISERROR(SEARCH("em correção",I156)))</formula>
    </cfRule>
    <cfRule type="containsText" dxfId="340" priority="245" operator="containsText" text="editado pela TV">
      <formula>NOT(ISERROR(SEARCH("editado pela TV",I156)))</formula>
    </cfRule>
    <cfRule type="containsText" dxfId="339" priority="246" operator="containsText" text="em correção">
      <formula>NOT(ISERROR(SEARCH("em correção",I156)))</formula>
    </cfRule>
    <cfRule type="containsText" dxfId="338" priority="247" operator="containsText" text="enviado pelo prof">
      <formula>NOT(ISERROR(SEARCH("enviado pelo prof",I156)))</formula>
    </cfRule>
    <cfRule type="containsText" dxfId="337" priority="248" operator="containsText" text="vai gravar">
      <formula>NOT(ISERROR(SEARCH("vai gravar",I156)))</formula>
    </cfRule>
  </conditionalFormatting>
  <conditionalFormatting sqref="I77">
    <cfRule type="containsText" dxfId="336" priority="233" operator="containsText" text="em edição">
      <formula>NOT(ISERROR(SEARCH("em edição",I77)))</formula>
    </cfRule>
    <cfRule type="containsText" dxfId="335" priority="234" operator="containsText" text="procedimento interno">
      <formula>NOT(ISERROR(SEARCH("procedimento interno",I77)))</formula>
    </cfRule>
    <cfRule type="containsText" dxfId="334" priority="235" operator="containsText" text="finalizado">
      <formula>NOT(ISERROR(SEARCH("finalizado",I77)))</formula>
    </cfRule>
    <cfRule type="containsText" dxfId="333" priority="236" operator="containsText" text="em correção">
      <formula>NOT(ISERROR(SEARCH("em correção",I77)))</formula>
    </cfRule>
    <cfRule type="containsText" dxfId="332" priority="237" operator="containsText" text="editado pela TV">
      <formula>NOT(ISERROR(SEARCH("editado pela TV",I77)))</formula>
    </cfRule>
    <cfRule type="containsText" dxfId="331" priority="238" operator="containsText" text="em correção">
      <formula>NOT(ISERROR(SEARCH("em correção",I77)))</formula>
    </cfRule>
    <cfRule type="containsText" dxfId="330" priority="239" operator="containsText" text="enviado pelo prof">
      <formula>NOT(ISERROR(SEARCH("enviado pelo prof",I77)))</formula>
    </cfRule>
    <cfRule type="containsText" dxfId="329" priority="240" operator="containsText" text="vai gravar">
      <formula>NOT(ISERROR(SEARCH("vai gravar",I77)))</formula>
    </cfRule>
  </conditionalFormatting>
  <conditionalFormatting sqref="I78">
    <cfRule type="containsText" dxfId="328" priority="225" operator="containsText" text="em edição">
      <formula>NOT(ISERROR(SEARCH("em edição",I78)))</formula>
    </cfRule>
    <cfRule type="containsText" dxfId="327" priority="226" operator="containsText" text="procedimento interno">
      <formula>NOT(ISERROR(SEARCH("procedimento interno",I78)))</formula>
    </cfRule>
    <cfRule type="containsText" dxfId="326" priority="227" operator="containsText" text="finalizado">
      <formula>NOT(ISERROR(SEARCH("finalizado",I78)))</formula>
    </cfRule>
    <cfRule type="containsText" dxfId="325" priority="228" operator="containsText" text="em correção">
      <formula>NOT(ISERROR(SEARCH("em correção",I78)))</formula>
    </cfRule>
    <cfRule type="containsText" dxfId="324" priority="229" operator="containsText" text="editado pela TV">
      <formula>NOT(ISERROR(SEARCH("editado pela TV",I78)))</formula>
    </cfRule>
    <cfRule type="containsText" dxfId="323" priority="230" operator="containsText" text="em correção">
      <formula>NOT(ISERROR(SEARCH("em correção",I78)))</formula>
    </cfRule>
    <cfRule type="containsText" dxfId="322" priority="231" operator="containsText" text="enviado pelo prof">
      <formula>NOT(ISERROR(SEARCH("enviado pelo prof",I78)))</formula>
    </cfRule>
    <cfRule type="containsText" dxfId="321" priority="232" operator="containsText" text="vai gravar">
      <formula>NOT(ISERROR(SEARCH("vai gravar",I78)))</formula>
    </cfRule>
  </conditionalFormatting>
  <conditionalFormatting sqref="I79">
    <cfRule type="containsText" dxfId="320" priority="217" operator="containsText" text="em edição">
      <formula>NOT(ISERROR(SEARCH("em edição",I79)))</formula>
    </cfRule>
    <cfRule type="containsText" dxfId="319" priority="218" operator="containsText" text="procedimento interno">
      <formula>NOT(ISERROR(SEARCH("procedimento interno",I79)))</formula>
    </cfRule>
    <cfRule type="containsText" dxfId="318" priority="219" operator="containsText" text="finalizado">
      <formula>NOT(ISERROR(SEARCH("finalizado",I79)))</formula>
    </cfRule>
    <cfRule type="containsText" dxfId="317" priority="220" operator="containsText" text="em correção">
      <formula>NOT(ISERROR(SEARCH("em correção",I79)))</formula>
    </cfRule>
    <cfRule type="containsText" dxfId="316" priority="221" operator="containsText" text="editado pela TV">
      <formula>NOT(ISERROR(SEARCH("editado pela TV",I79)))</formula>
    </cfRule>
    <cfRule type="containsText" dxfId="315" priority="222" operator="containsText" text="em correção">
      <formula>NOT(ISERROR(SEARCH("em correção",I79)))</formula>
    </cfRule>
    <cfRule type="containsText" dxfId="314" priority="223" operator="containsText" text="enviado pelo prof">
      <formula>NOT(ISERROR(SEARCH("enviado pelo prof",I79)))</formula>
    </cfRule>
    <cfRule type="containsText" dxfId="313" priority="224" operator="containsText" text="vai gravar">
      <formula>NOT(ISERROR(SEARCH("vai gravar",I79)))</formula>
    </cfRule>
  </conditionalFormatting>
  <conditionalFormatting sqref="I80">
    <cfRule type="containsText" dxfId="312" priority="209" operator="containsText" text="em edição">
      <formula>NOT(ISERROR(SEARCH("em edição",I80)))</formula>
    </cfRule>
    <cfRule type="containsText" dxfId="311" priority="210" operator="containsText" text="procedimento interno">
      <formula>NOT(ISERROR(SEARCH("procedimento interno",I80)))</formula>
    </cfRule>
    <cfRule type="containsText" dxfId="310" priority="211" operator="containsText" text="finalizado">
      <formula>NOT(ISERROR(SEARCH("finalizado",I80)))</formula>
    </cfRule>
    <cfRule type="containsText" dxfId="309" priority="212" operator="containsText" text="em correção">
      <formula>NOT(ISERROR(SEARCH("em correção",I80)))</formula>
    </cfRule>
    <cfRule type="containsText" dxfId="308" priority="213" operator="containsText" text="editado pela TV">
      <formula>NOT(ISERROR(SEARCH("editado pela TV",I80)))</formula>
    </cfRule>
    <cfRule type="containsText" dxfId="307" priority="214" operator="containsText" text="em correção">
      <formula>NOT(ISERROR(SEARCH("em correção",I80)))</formula>
    </cfRule>
    <cfRule type="containsText" dxfId="306" priority="215" operator="containsText" text="enviado pelo prof">
      <formula>NOT(ISERROR(SEARCH("enviado pelo prof",I80)))</formula>
    </cfRule>
    <cfRule type="containsText" dxfId="305" priority="216" operator="containsText" text="vai gravar">
      <formula>NOT(ISERROR(SEARCH("vai gravar",I80)))</formula>
    </cfRule>
  </conditionalFormatting>
  <conditionalFormatting sqref="I81">
    <cfRule type="containsText" dxfId="304" priority="201" operator="containsText" text="em edição">
      <formula>NOT(ISERROR(SEARCH("em edição",I81)))</formula>
    </cfRule>
    <cfRule type="containsText" dxfId="303" priority="202" operator="containsText" text="procedimento interno">
      <formula>NOT(ISERROR(SEARCH("procedimento interno",I81)))</formula>
    </cfRule>
    <cfRule type="containsText" dxfId="302" priority="203" operator="containsText" text="finalizado">
      <formula>NOT(ISERROR(SEARCH("finalizado",I81)))</formula>
    </cfRule>
    <cfRule type="containsText" dxfId="301" priority="204" operator="containsText" text="em correção">
      <formula>NOT(ISERROR(SEARCH("em correção",I81)))</formula>
    </cfRule>
    <cfRule type="containsText" dxfId="300" priority="205" operator="containsText" text="editado pela TV">
      <formula>NOT(ISERROR(SEARCH("editado pela TV",I81)))</formula>
    </cfRule>
    <cfRule type="containsText" dxfId="299" priority="206" operator="containsText" text="em correção">
      <formula>NOT(ISERROR(SEARCH("em correção",I81)))</formula>
    </cfRule>
    <cfRule type="containsText" dxfId="298" priority="207" operator="containsText" text="enviado pelo prof">
      <formula>NOT(ISERROR(SEARCH("enviado pelo prof",I81)))</formula>
    </cfRule>
    <cfRule type="containsText" dxfId="297" priority="208" operator="containsText" text="vai gravar">
      <formula>NOT(ISERROR(SEARCH("vai gravar",I81)))</formula>
    </cfRule>
  </conditionalFormatting>
  <conditionalFormatting sqref="I82">
    <cfRule type="containsText" dxfId="296" priority="193" operator="containsText" text="em edição">
      <formula>NOT(ISERROR(SEARCH("em edição",I82)))</formula>
    </cfRule>
    <cfRule type="containsText" dxfId="295" priority="194" operator="containsText" text="procedimento interno">
      <formula>NOT(ISERROR(SEARCH("procedimento interno",I82)))</formula>
    </cfRule>
    <cfRule type="containsText" dxfId="294" priority="195" operator="containsText" text="finalizado">
      <formula>NOT(ISERROR(SEARCH("finalizado",I82)))</formula>
    </cfRule>
    <cfRule type="containsText" dxfId="293" priority="196" operator="containsText" text="em correção">
      <formula>NOT(ISERROR(SEARCH("em correção",I82)))</formula>
    </cfRule>
    <cfRule type="containsText" dxfId="292" priority="197" operator="containsText" text="editado pela TV">
      <formula>NOT(ISERROR(SEARCH("editado pela TV",I82)))</formula>
    </cfRule>
    <cfRule type="containsText" dxfId="291" priority="198" operator="containsText" text="em correção">
      <formula>NOT(ISERROR(SEARCH("em correção",I82)))</formula>
    </cfRule>
    <cfRule type="containsText" dxfId="290" priority="199" operator="containsText" text="enviado pelo prof">
      <formula>NOT(ISERROR(SEARCH("enviado pelo prof",I82)))</formula>
    </cfRule>
    <cfRule type="containsText" dxfId="289" priority="200" operator="containsText" text="vai gravar">
      <formula>NOT(ISERROR(SEARCH("vai gravar",I82)))</formula>
    </cfRule>
  </conditionalFormatting>
  <conditionalFormatting sqref="I83">
    <cfRule type="containsText" dxfId="288" priority="185" operator="containsText" text="em edição">
      <formula>NOT(ISERROR(SEARCH("em edição",I83)))</formula>
    </cfRule>
    <cfRule type="containsText" dxfId="287" priority="186" operator="containsText" text="procedimento interno">
      <formula>NOT(ISERROR(SEARCH("procedimento interno",I83)))</formula>
    </cfRule>
    <cfRule type="containsText" dxfId="286" priority="187" operator="containsText" text="finalizado">
      <formula>NOT(ISERROR(SEARCH("finalizado",I83)))</formula>
    </cfRule>
    <cfRule type="containsText" dxfId="285" priority="188" operator="containsText" text="em correção">
      <formula>NOT(ISERROR(SEARCH("em correção",I83)))</formula>
    </cfRule>
    <cfRule type="containsText" dxfId="284" priority="189" operator="containsText" text="editado pela TV">
      <formula>NOT(ISERROR(SEARCH("editado pela TV",I83)))</formula>
    </cfRule>
    <cfRule type="containsText" dxfId="283" priority="190" operator="containsText" text="em correção">
      <formula>NOT(ISERROR(SEARCH("em correção",I83)))</formula>
    </cfRule>
    <cfRule type="containsText" dxfId="282" priority="191" operator="containsText" text="enviado pelo prof">
      <formula>NOT(ISERROR(SEARCH("enviado pelo prof",I83)))</formula>
    </cfRule>
    <cfRule type="containsText" dxfId="281" priority="192" operator="containsText" text="vai gravar">
      <formula>NOT(ISERROR(SEARCH("vai gravar",I83)))</formula>
    </cfRule>
  </conditionalFormatting>
  <conditionalFormatting sqref="I84">
    <cfRule type="containsText" dxfId="280" priority="177" operator="containsText" text="em edição">
      <formula>NOT(ISERROR(SEARCH("em edição",I84)))</formula>
    </cfRule>
    <cfRule type="containsText" dxfId="279" priority="178" operator="containsText" text="procedimento interno">
      <formula>NOT(ISERROR(SEARCH("procedimento interno",I84)))</formula>
    </cfRule>
    <cfRule type="containsText" dxfId="278" priority="179" operator="containsText" text="finalizado">
      <formula>NOT(ISERROR(SEARCH("finalizado",I84)))</formula>
    </cfRule>
    <cfRule type="containsText" dxfId="277" priority="180" operator="containsText" text="em correção">
      <formula>NOT(ISERROR(SEARCH("em correção",I84)))</formula>
    </cfRule>
    <cfRule type="containsText" dxfId="276" priority="181" operator="containsText" text="editado pela TV">
      <formula>NOT(ISERROR(SEARCH("editado pela TV",I84)))</formula>
    </cfRule>
    <cfRule type="containsText" dxfId="275" priority="182" operator="containsText" text="em correção">
      <formula>NOT(ISERROR(SEARCH("em correção",I84)))</formula>
    </cfRule>
    <cfRule type="containsText" dxfId="274" priority="183" operator="containsText" text="enviado pelo prof">
      <formula>NOT(ISERROR(SEARCH("enviado pelo prof",I84)))</formula>
    </cfRule>
    <cfRule type="containsText" dxfId="273" priority="184" operator="containsText" text="vai gravar">
      <formula>NOT(ISERROR(SEARCH("vai gravar",I84)))</formula>
    </cfRule>
  </conditionalFormatting>
  <conditionalFormatting sqref="I85">
    <cfRule type="containsText" dxfId="272" priority="169" operator="containsText" text="em edição">
      <formula>NOT(ISERROR(SEARCH("em edição",I85)))</formula>
    </cfRule>
    <cfRule type="containsText" dxfId="271" priority="170" operator="containsText" text="procedimento interno">
      <formula>NOT(ISERROR(SEARCH("procedimento interno",I85)))</formula>
    </cfRule>
    <cfRule type="containsText" dxfId="270" priority="171" operator="containsText" text="finalizado">
      <formula>NOT(ISERROR(SEARCH("finalizado",I85)))</formula>
    </cfRule>
    <cfRule type="containsText" dxfId="269" priority="172" operator="containsText" text="em correção">
      <formula>NOT(ISERROR(SEARCH("em correção",I85)))</formula>
    </cfRule>
    <cfRule type="containsText" dxfId="268" priority="173" operator="containsText" text="editado pela TV">
      <formula>NOT(ISERROR(SEARCH("editado pela TV",I85)))</formula>
    </cfRule>
    <cfRule type="containsText" dxfId="267" priority="174" operator="containsText" text="em correção">
      <formula>NOT(ISERROR(SEARCH("em correção",I85)))</formula>
    </cfRule>
    <cfRule type="containsText" dxfId="266" priority="175" operator="containsText" text="enviado pelo prof">
      <formula>NOT(ISERROR(SEARCH("enviado pelo prof",I85)))</formula>
    </cfRule>
    <cfRule type="containsText" dxfId="265" priority="176" operator="containsText" text="vai gravar">
      <formula>NOT(ISERROR(SEARCH("vai gravar",I85)))</formula>
    </cfRule>
  </conditionalFormatting>
  <conditionalFormatting sqref="I86">
    <cfRule type="containsText" dxfId="264" priority="161" operator="containsText" text="em edição">
      <formula>NOT(ISERROR(SEARCH("em edição",I86)))</formula>
    </cfRule>
    <cfRule type="containsText" dxfId="263" priority="162" operator="containsText" text="procedimento interno">
      <formula>NOT(ISERROR(SEARCH("procedimento interno",I86)))</formula>
    </cfRule>
    <cfRule type="containsText" dxfId="262" priority="163" operator="containsText" text="finalizado">
      <formula>NOT(ISERROR(SEARCH("finalizado",I86)))</formula>
    </cfRule>
    <cfRule type="containsText" dxfId="261" priority="164" operator="containsText" text="em correção">
      <formula>NOT(ISERROR(SEARCH("em correção",I86)))</formula>
    </cfRule>
    <cfRule type="containsText" dxfId="260" priority="165" operator="containsText" text="editado pela TV">
      <formula>NOT(ISERROR(SEARCH("editado pela TV",I86)))</formula>
    </cfRule>
    <cfRule type="containsText" dxfId="259" priority="166" operator="containsText" text="em correção">
      <formula>NOT(ISERROR(SEARCH("em correção",I86)))</formula>
    </cfRule>
    <cfRule type="containsText" dxfId="258" priority="167" operator="containsText" text="enviado pelo prof">
      <formula>NOT(ISERROR(SEARCH("enviado pelo prof",I86)))</formula>
    </cfRule>
    <cfRule type="containsText" dxfId="257" priority="168" operator="containsText" text="vai gravar">
      <formula>NOT(ISERROR(SEARCH("vai gravar",I86)))</formula>
    </cfRule>
  </conditionalFormatting>
  <conditionalFormatting sqref="I87">
    <cfRule type="containsText" dxfId="256" priority="153" operator="containsText" text="em edição">
      <formula>NOT(ISERROR(SEARCH("em edição",I87)))</formula>
    </cfRule>
    <cfRule type="containsText" dxfId="255" priority="154" operator="containsText" text="procedimento interno">
      <formula>NOT(ISERROR(SEARCH("procedimento interno",I87)))</formula>
    </cfRule>
    <cfRule type="containsText" dxfId="254" priority="155" operator="containsText" text="finalizado">
      <formula>NOT(ISERROR(SEARCH("finalizado",I87)))</formula>
    </cfRule>
    <cfRule type="containsText" dxfId="253" priority="156" operator="containsText" text="em correção">
      <formula>NOT(ISERROR(SEARCH("em correção",I87)))</formula>
    </cfRule>
    <cfRule type="containsText" dxfId="252" priority="157" operator="containsText" text="editado pela TV">
      <formula>NOT(ISERROR(SEARCH("editado pela TV",I87)))</formula>
    </cfRule>
    <cfRule type="containsText" dxfId="251" priority="158" operator="containsText" text="em correção">
      <formula>NOT(ISERROR(SEARCH("em correção",I87)))</formula>
    </cfRule>
    <cfRule type="containsText" dxfId="250" priority="159" operator="containsText" text="enviado pelo prof">
      <formula>NOT(ISERROR(SEARCH("enviado pelo prof",I87)))</formula>
    </cfRule>
    <cfRule type="containsText" dxfId="249" priority="160" operator="containsText" text="vai gravar">
      <formula>NOT(ISERROR(SEARCH("vai gravar",I87)))</formula>
    </cfRule>
  </conditionalFormatting>
  <conditionalFormatting sqref="I88">
    <cfRule type="containsText" dxfId="248" priority="145" operator="containsText" text="em edição">
      <formula>NOT(ISERROR(SEARCH("em edição",I88)))</formula>
    </cfRule>
    <cfRule type="containsText" dxfId="247" priority="146" operator="containsText" text="procedimento interno">
      <formula>NOT(ISERROR(SEARCH("procedimento interno",I88)))</formula>
    </cfRule>
    <cfRule type="containsText" dxfId="246" priority="147" operator="containsText" text="finalizado">
      <formula>NOT(ISERROR(SEARCH("finalizado",I88)))</formula>
    </cfRule>
    <cfRule type="containsText" dxfId="245" priority="148" operator="containsText" text="em correção">
      <formula>NOT(ISERROR(SEARCH("em correção",I88)))</formula>
    </cfRule>
    <cfRule type="containsText" dxfId="244" priority="149" operator="containsText" text="editado pela TV">
      <formula>NOT(ISERROR(SEARCH("editado pela TV",I88)))</formula>
    </cfRule>
    <cfRule type="containsText" dxfId="243" priority="150" operator="containsText" text="em correção">
      <formula>NOT(ISERROR(SEARCH("em correção",I88)))</formula>
    </cfRule>
    <cfRule type="containsText" dxfId="242" priority="151" operator="containsText" text="enviado pelo prof">
      <formula>NOT(ISERROR(SEARCH("enviado pelo prof",I88)))</formula>
    </cfRule>
    <cfRule type="containsText" dxfId="241" priority="152" operator="containsText" text="vai gravar">
      <formula>NOT(ISERROR(SEARCH("vai gravar",I88)))</formula>
    </cfRule>
  </conditionalFormatting>
  <conditionalFormatting sqref="I89">
    <cfRule type="containsText" dxfId="240" priority="137" operator="containsText" text="em edição">
      <formula>NOT(ISERROR(SEARCH("em edição",I89)))</formula>
    </cfRule>
    <cfRule type="containsText" dxfId="239" priority="138" operator="containsText" text="procedimento interno">
      <formula>NOT(ISERROR(SEARCH("procedimento interno",I89)))</formula>
    </cfRule>
    <cfRule type="containsText" dxfId="238" priority="139" operator="containsText" text="finalizado">
      <formula>NOT(ISERROR(SEARCH("finalizado",I89)))</formula>
    </cfRule>
    <cfRule type="containsText" dxfId="237" priority="140" operator="containsText" text="em correção">
      <formula>NOT(ISERROR(SEARCH("em correção",I89)))</formula>
    </cfRule>
    <cfRule type="containsText" dxfId="236" priority="141" operator="containsText" text="editado pela TV">
      <formula>NOT(ISERROR(SEARCH("editado pela TV",I89)))</formula>
    </cfRule>
    <cfRule type="containsText" dxfId="235" priority="142" operator="containsText" text="em correção">
      <formula>NOT(ISERROR(SEARCH("em correção",I89)))</formula>
    </cfRule>
    <cfRule type="containsText" dxfId="234" priority="143" operator="containsText" text="enviado pelo prof">
      <formula>NOT(ISERROR(SEARCH("enviado pelo prof",I89)))</formula>
    </cfRule>
    <cfRule type="containsText" dxfId="233" priority="144" operator="containsText" text="vai gravar">
      <formula>NOT(ISERROR(SEARCH("vai gravar",I89)))</formula>
    </cfRule>
  </conditionalFormatting>
  <conditionalFormatting sqref="I90">
    <cfRule type="containsText" dxfId="232" priority="121" operator="containsText" text="em edição">
      <formula>NOT(ISERROR(SEARCH("em edição",I90)))</formula>
    </cfRule>
    <cfRule type="containsText" dxfId="231" priority="122" operator="containsText" text="procedimento interno">
      <formula>NOT(ISERROR(SEARCH("procedimento interno",I90)))</formula>
    </cfRule>
    <cfRule type="containsText" dxfId="230" priority="123" operator="containsText" text="finalizado">
      <formula>NOT(ISERROR(SEARCH("finalizado",I90)))</formula>
    </cfRule>
    <cfRule type="containsText" dxfId="229" priority="124" operator="containsText" text="em correção">
      <formula>NOT(ISERROR(SEARCH("em correção",I90)))</formula>
    </cfRule>
    <cfRule type="containsText" dxfId="228" priority="125" operator="containsText" text="editado pela TV">
      <formula>NOT(ISERROR(SEARCH("editado pela TV",I90)))</formula>
    </cfRule>
    <cfRule type="containsText" dxfId="227" priority="126" operator="containsText" text="em correção">
      <formula>NOT(ISERROR(SEARCH("em correção",I90)))</formula>
    </cfRule>
    <cfRule type="containsText" dxfId="226" priority="127" operator="containsText" text="enviado pelo prof">
      <formula>NOT(ISERROR(SEARCH("enviado pelo prof",I90)))</formula>
    </cfRule>
    <cfRule type="containsText" dxfId="225" priority="128" operator="containsText" text="vai gravar">
      <formula>NOT(ISERROR(SEARCH("vai gravar",I90)))</formula>
    </cfRule>
  </conditionalFormatting>
  <conditionalFormatting sqref="I91">
    <cfRule type="containsText" dxfId="224" priority="113" operator="containsText" text="em edição">
      <formula>NOT(ISERROR(SEARCH("em edição",I91)))</formula>
    </cfRule>
    <cfRule type="containsText" dxfId="223" priority="114" operator="containsText" text="procedimento interno">
      <formula>NOT(ISERROR(SEARCH("procedimento interno",I91)))</formula>
    </cfRule>
    <cfRule type="containsText" dxfId="222" priority="115" operator="containsText" text="finalizado">
      <formula>NOT(ISERROR(SEARCH("finalizado",I91)))</formula>
    </cfRule>
    <cfRule type="containsText" dxfId="221" priority="116" operator="containsText" text="em correção">
      <formula>NOT(ISERROR(SEARCH("em correção",I91)))</formula>
    </cfRule>
    <cfRule type="containsText" dxfId="220" priority="117" operator="containsText" text="editado pela TV">
      <formula>NOT(ISERROR(SEARCH("editado pela TV",I91)))</formula>
    </cfRule>
    <cfRule type="containsText" dxfId="219" priority="118" operator="containsText" text="em correção">
      <formula>NOT(ISERROR(SEARCH("em correção",I91)))</formula>
    </cfRule>
    <cfRule type="containsText" dxfId="218" priority="119" operator="containsText" text="enviado pelo prof">
      <formula>NOT(ISERROR(SEARCH("enviado pelo prof",I91)))</formula>
    </cfRule>
    <cfRule type="containsText" dxfId="217" priority="120" operator="containsText" text="vai gravar">
      <formula>NOT(ISERROR(SEARCH("vai gravar",I91)))</formula>
    </cfRule>
  </conditionalFormatting>
  <conditionalFormatting sqref="I92">
    <cfRule type="containsText" dxfId="216" priority="105" operator="containsText" text="em edição">
      <formula>NOT(ISERROR(SEARCH("em edição",I92)))</formula>
    </cfRule>
    <cfRule type="containsText" dxfId="215" priority="106" operator="containsText" text="procedimento interno">
      <formula>NOT(ISERROR(SEARCH("procedimento interno",I92)))</formula>
    </cfRule>
    <cfRule type="containsText" dxfId="214" priority="107" operator="containsText" text="finalizado">
      <formula>NOT(ISERROR(SEARCH("finalizado",I92)))</formula>
    </cfRule>
    <cfRule type="containsText" dxfId="213" priority="108" operator="containsText" text="em correção">
      <formula>NOT(ISERROR(SEARCH("em correção",I92)))</formula>
    </cfRule>
    <cfRule type="containsText" dxfId="212" priority="109" operator="containsText" text="editado pela TV">
      <formula>NOT(ISERROR(SEARCH("editado pela TV",I92)))</formula>
    </cfRule>
    <cfRule type="containsText" dxfId="211" priority="110" operator="containsText" text="em correção">
      <formula>NOT(ISERROR(SEARCH("em correção",I92)))</formula>
    </cfRule>
    <cfRule type="containsText" dxfId="210" priority="111" operator="containsText" text="enviado pelo prof">
      <formula>NOT(ISERROR(SEARCH("enviado pelo prof",I92)))</formula>
    </cfRule>
    <cfRule type="containsText" dxfId="209" priority="112" operator="containsText" text="vai gravar">
      <formula>NOT(ISERROR(SEARCH("vai gravar",I92)))</formula>
    </cfRule>
  </conditionalFormatting>
  <conditionalFormatting sqref="I93">
    <cfRule type="containsText" dxfId="208" priority="97" operator="containsText" text="em edição">
      <formula>NOT(ISERROR(SEARCH("em edição",I93)))</formula>
    </cfRule>
    <cfRule type="containsText" dxfId="207" priority="98" operator="containsText" text="procedimento interno">
      <formula>NOT(ISERROR(SEARCH("procedimento interno",I93)))</formula>
    </cfRule>
    <cfRule type="containsText" dxfId="206" priority="99" operator="containsText" text="finalizado">
      <formula>NOT(ISERROR(SEARCH("finalizado",I93)))</formula>
    </cfRule>
    <cfRule type="containsText" dxfId="205" priority="100" operator="containsText" text="em correção">
      <formula>NOT(ISERROR(SEARCH("em correção",I93)))</formula>
    </cfRule>
    <cfRule type="containsText" dxfId="204" priority="101" operator="containsText" text="editado pela TV">
      <formula>NOT(ISERROR(SEARCH("editado pela TV",I93)))</formula>
    </cfRule>
    <cfRule type="containsText" dxfId="203" priority="102" operator="containsText" text="em correção">
      <formula>NOT(ISERROR(SEARCH("em correção",I93)))</formula>
    </cfRule>
    <cfRule type="containsText" dxfId="202" priority="103" operator="containsText" text="enviado pelo prof">
      <formula>NOT(ISERROR(SEARCH("enviado pelo prof",I93)))</formula>
    </cfRule>
    <cfRule type="containsText" dxfId="201" priority="104" operator="containsText" text="vai gravar">
      <formula>NOT(ISERROR(SEARCH("vai gravar",I93)))</formula>
    </cfRule>
  </conditionalFormatting>
  <conditionalFormatting sqref="I94">
    <cfRule type="containsText" dxfId="200" priority="89" operator="containsText" text="em edição">
      <formula>NOT(ISERROR(SEARCH("em edição",I94)))</formula>
    </cfRule>
    <cfRule type="containsText" dxfId="199" priority="90" operator="containsText" text="procedimento interno">
      <formula>NOT(ISERROR(SEARCH("procedimento interno",I94)))</formula>
    </cfRule>
    <cfRule type="containsText" dxfId="198" priority="91" operator="containsText" text="finalizado">
      <formula>NOT(ISERROR(SEARCH("finalizado",I94)))</formula>
    </cfRule>
    <cfRule type="containsText" dxfId="197" priority="92" operator="containsText" text="em correção">
      <formula>NOT(ISERROR(SEARCH("em correção",I94)))</formula>
    </cfRule>
    <cfRule type="containsText" dxfId="196" priority="93" operator="containsText" text="editado pela TV">
      <formula>NOT(ISERROR(SEARCH("editado pela TV",I94)))</formula>
    </cfRule>
    <cfRule type="containsText" dxfId="195" priority="94" operator="containsText" text="em correção">
      <formula>NOT(ISERROR(SEARCH("em correção",I94)))</formula>
    </cfRule>
    <cfRule type="containsText" dxfId="194" priority="95" operator="containsText" text="enviado pelo prof">
      <formula>NOT(ISERROR(SEARCH("enviado pelo prof",I94)))</formula>
    </cfRule>
    <cfRule type="containsText" dxfId="193" priority="96" operator="containsText" text="vai gravar">
      <formula>NOT(ISERROR(SEARCH("vai gravar",I94)))</formula>
    </cfRule>
  </conditionalFormatting>
  <conditionalFormatting sqref="I95">
    <cfRule type="containsText" dxfId="192" priority="81" operator="containsText" text="em edição">
      <formula>NOT(ISERROR(SEARCH("em edição",I95)))</formula>
    </cfRule>
    <cfRule type="containsText" dxfId="191" priority="82" operator="containsText" text="procedimento interno">
      <formula>NOT(ISERROR(SEARCH("procedimento interno",I95)))</formula>
    </cfRule>
    <cfRule type="containsText" dxfId="190" priority="83" operator="containsText" text="finalizado">
      <formula>NOT(ISERROR(SEARCH("finalizado",I95)))</formula>
    </cfRule>
    <cfRule type="containsText" dxfId="189" priority="84" operator="containsText" text="em correção">
      <formula>NOT(ISERROR(SEARCH("em correção",I95)))</formula>
    </cfRule>
    <cfRule type="containsText" dxfId="188" priority="85" operator="containsText" text="editado pela TV">
      <formula>NOT(ISERROR(SEARCH("editado pela TV",I95)))</formula>
    </cfRule>
    <cfRule type="containsText" dxfId="187" priority="86" operator="containsText" text="em correção">
      <formula>NOT(ISERROR(SEARCH("em correção",I95)))</formula>
    </cfRule>
    <cfRule type="containsText" dxfId="186" priority="87" operator="containsText" text="enviado pelo prof">
      <formula>NOT(ISERROR(SEARCH("enviado pelo prof",I95)))</formula>
    </cfRule>
    <cfRule type="containsText" dxfId="185" priority="88" operator="containsText" text="vai gravar">
      <formula>NOT(ISERROR(SEARCH("vai gravar",I95)))</formula>
    </cfRule>
  </conditionalFormatting>
  <conditionalFormatting sqref="I96">
    <cfRule type="containsText" dxfId="184" priority="73" operator="containsText" text="em edição">
      <formula>NOT(ISERROR(SEARCH("em edição",I96)))</formula>
    </cfRule>
    <cfRule type="containsText" dxfId="183" priority="74" operator="containsText" text="procedimento interno">
      <formula>NOT(ISERROR(SEARCH("procedimento interno",I96)))</formula>
    </cfRule>
    <cfRule type="containsText" dxfId="182" priority="75" operator="containsText" text="finalizado">
      <formula>NOT(ISERROR(SEARCH("finalizado",I96)))</formula>
    </cfRule>
    <cfRule type="containsText" dxfId="181" priority="76" operator="containsText" text="em correção">
      <formula>NOT(ISERROR(SEARCH("em correção",I96)))</formula>
    </cfRule>
    <cfRule type="containsText" dxfId="180" priority="77" operator="containsText" text="editado pela TV">
      <formula>NOT(ISERROR(SEARCH("editado pela TV",I96)))</formula>
    </cfRule>
    <cfRule type="containsText" dxfId="179" priority="78" operator="containsText" text="em correção">
      <formula>NOT(ISERROR(SEARCH("em correção",I96)))</formula>
    </cfRule>
    <cfRule type="containsText" dxfId="178" priority="79" operator="containsText" text="enviado pelo prof">
      <formula>NOT(ISERROR(SEARCH("enviado pelo prof",I96)))</formula>
    </cfRule>
    <cfRule type="containsText" dxfId="177" priority="80" operator="containsText" text="vai gravar">
      <formula>NOT(ISERROR(SEARCH("vai gravar",I96)))</formula>
    </cfRule>
  </conditionalFormatting>
  <conditionalFormatting sqref="I97">
    <cfRule type="containsText" dxfId="176" priority="65" operator="containsText" text="em edição">
      <formula>NOT(ISERROR(SEARCH("em edição",I97)))</formula>
    </cfRule>
    <cfRule type="containsText" dxfId="175" priority="66" operator="containsText" text="procedimento interno">
      <formula>NOT(ISERROR(SEARCH("procedimento interno",I97)))</formula>
    </cfRule>
    <cfRule type="containsText" dxfId="174" priority="67" operator="containsText" text="finalizado">
      <formula>NOT(ISERROR(SEARCH("finalizado",I97)))</formula>
    </cfRule>
    <cfRule type="containsText" dxfId="173" priority="68" operator="containsText" text="em correção">
      <formula>NOT(ISERROR(SEARCH("em correção",I97)))</formula>
    </cfRule>
    <cfRule type="containsText" dxfId="172" priority="69" operator="containsText" text="editado pela TV">
      <formula>NOT(ISERROR(SEARCH("editado pela TV",I97)))</formula>
    </cfRule>
    <cfRule type="containsText" dxfId="171" priority="70" operator="containsText" text="em correção">
      <formula>NOT(ISERROR(SEARCH("em correção",I97)))</formula>
    </cfRule>
    <cfRule type="containsText" dxfId="170" priority="71" operator="containsText" text="enviado pelo prof">
      <formula>NOT(ISERROR(SEARCH("enviado pelo prof",I97)))</formula>
    </cfRule>
    <cfRule type="containsText" dxfId="169" priority="72" operator="containsText" text="vai gravar">
      <formula>NOT(ISERROR(SEARCH("vai gravar",I97)))</formula>
    </cfRule>
  </conditionalFormatting>
  <conditionalFormatting sqref="I98">
    <cfRule type="containsText" dxfId="168" priority="57" operator="containsText" text="em edição">
      <formula>NOT(ISERROR(SEARCH("em edição",I98)))</formula>
    </cfRule>
    <cfRule type="containsText" dxfId="167" priority="58" operator="containsText" text="procedimento interno">
      <formula>NOT(ISERROR(SEARCH("procedimento interno",I98)))</formula>
    </cfRule>
    <cfRule type="containsText" dxfId="166" priority="59" operator="containsText" text="finalizado">
      <formula>NOT(ISERROR(SEARCH("finalizado",I98)))</formula>
    </cfRule>
    <cfRule type="containsText" dxfId="165" priority="60" operator="containsText" text="em correção">
      <formula>NOT(ISERROR(SEARCH("em correção",I98)))</formula>
    </cfRule>
    <cfRule type="containsText" dxfId="164" priority="61" operator="containsText" text="editado pela TV">
      <formula>NOT(ISERROR(SEARCH("editado pela TV",I98)))</formula>
    </cfRule>
    <cfRule type="containsText" dxfId="163" priority="62" operator="containsText" text="em correção">
      <formula>NOT(ISERROR(SEARCH("em correção",I98)))</formula>
    </cfRule>
    <cfRule type="containsText" dxfId="162" priority="63" operator="containsText" text="enviado pelo prof">
      <formula>NOT(ISERROR(SEARCH("enviado pelo prof",I98)))</formula>
    </cfRule>
    <cfRule type="containsText" dxfId="161" priority="64" operator="containsText" text="vai gravar">
      <formula>NOT(ISERROR(SEARCH("vai gravar",I98)))</formula>
    </cfRule>
  </conditionalFormatting>
  <conditionalFormatting sqref="I181:I199">
    <cfRule type="containsText" dxfId="160" priority="49" operator="containsText" text="em edição">
      <formula>NOT(ISERROR(SEARCH("em edição",I181)))</formula>
    </cfRule>
    <cfRule type="containsText" dxfId="159" priority="50" operator="containsText" text="procedimento interno">
      <formula>NOT(ISERROR(SEARCH("procedimento interno",I181)))</formula>
    </cfRule>
    <cfRule type="containsText" dxfId="158" priority="51" operator="containsText" text="finalizado">
      <formula>NOT(ISERROR(SEARCH("finalizado",I181)))</formula>
    </cfRule>
    <cfRule type="containsText" dxfId="157" priority="52" operator="containsText" text="em correção">
      <formula>NOT(ISERROR(SEARCH("em correção",I181)))</formula>
    </cfRule>
    <cfRule type="containsText" dxfId="156" priority="53" operator="containsText" text="editado pela TV">
      <formula>NOT(ISERROR(SEARCH("editado pela TV",I181)))</formula>
    </cfRule>
    <cfRule type="containsText" dxfId="155" priority="54" operator="containsText" text="em correção">
      <formula>NOT(ISERROR(SEARCH("em correção",I181)))</formula>
    </cfRule>
    <cfRule type="containsText" dxfId="154" priority="55" operator="containsText" text="enviado pelo prof">
      <formula>NOT(ISERROR(SEARCH("enviado pelo prof",I181)))</formula>
    </cfRule>
    <cfRule type="containsText" dxfId="153" priority="56" operator="containsText" text="vai gravar">
      <formula>NOT(ISERROR(SEARCH("vai gravar",I181)))</formula>
    </cfRule>
  </conditionalFormatting>
  <conditionalFormatting sqref="I31:I52">
    <cfRule type="containsText" dxfId="152" priority="41" operator="containsText" text="em edição">
      <formula>NOT(ISERROR(SEARCH("em edição",I31)))</formula>
    </cfRule>
    <cfRule type="containsText" dxfId="151" priority="42" operator="containsText" text="procedimento interno">
      <formula>NOT(ISERROR(SEARCH("procedimento interno",I31)))</formula>
    </cfRule>
    <cfRule type="containsText" dxfId="150" priority="43" operator="containsText" text="finalizado">
      <formula>NOT(ISERROR(SEARCH("finalizado",I31)))</formula>
    </cfRule>
    <cfRule type="containsText" dxfId="149" priority="44" operator="containsText" text="em correção">
      <formula>NOT(ISERROR(SEARCH("em correção",I31)))</formula>
    </cfRule>
    <cfRule type="containsText" dxfId="148" priority="45" operator="containsText" text="editado pela TV">
      <formula>NOT(ISERROR(SEARCH("editado pela TV",I31)))</formula>
    </cfRule>
    <cfRule type="containsText" dxfId="147" priority="46" operator="containsText" text="em correção">
      <formula>NOT(ISERROR(SEARCH("em correção",I31)))</formula>
    </cfRule>
    <cfRule type="containsText" dxfId="146" priority="47" operator="containsText" text="enviado pelo prof">
      <formula>NOT(ISERROR(SEARCH("enviado pelo prof",I31)))</formula>
    </cfRule>
    <cfRule type="containsText" dxfId="145" priority="48" operator="containsText" text="vai gravar">
      <formula>NOT(ISERROR(SEARCH("vai gravar",I31)))</formula>
    </cfRule>
  </conditionalFormatting>
  <conditionalFormatting sqref="I178:I180">
    <cfRule type="containsText" dxfId="144" priority="33" operator="containsText" text="em edição">
      <formula>NOT(ISERROR(SEARCH("em edição",I178)))</formula>
    </cfRule>
    <cfRule type="containsText" dxfId="143" priority="34" operator="containsText" text="procedimento interno">
      <formula>NOT(ISERROR(SEARCH("procedimento interno",I178)))</formula>
    </cfRule>
    <cfRule type="containsText" dxfId="142" priority="35" operator="containsText" text="finalizado">
      <formula>NOT(ISERROR(SEARCH("finalizado",I178)))</formula>
    </cfRule>
    <cfRule type="containsText" dxfId="141" priority="36" operator="containsText" text="em correção">
      <formula>NOT(ISERROR(SEARCH("em correção",I178)))</formula>
    </cfRule>
    <cfRule type="containsText" dxfId="140" priority="37" operator="containsText" text="editado pela TV">
      <formula>NOT(ISERROR(SEARCH("editado pela TV",I178)))</formula>
    </cfRule>
    <cfRule type="containsText" dxfId="139" priority="38" operator="containsText" text="em correção">
      <formula>NOT(ISERROR(SEARCH("em correção",I178)))</formula>
    </cfRule>
    <cfRule type="containsText" dxfId="138" priority="39" operator="containsText" text="enviado pelo prof">
      <formula>NOT(ISERROR(SEARCH("enviado pelo prof",I178)))</formula>
    </cfRule>
    <cfRule type="containsText" dxfId="137" priority="40" operator="containsText" text="vai gravar">
      <formula>NOT(ISERROR(SEARCH("vai gravar",I178)))</formula>
    </cfRule>
  </conditionalFormatting>
  <conditionalFormatting sqref="I123:I130">
    <cfRule type="containsText" dxfId="136" priority="25" operator="containsText" text="em edição">
      <formula>NOT(ISERROR(SEARCH("em edição",I123)))</formula>
    </cfRule>
    <cfRule type="containsText" dxfId="135" priority="26" operator="containsText" text="procedimento interno">
      <formula>NOT(ISERROR(SEARCH("procedimento interno",I123)))</formula>
    </cfRule>
    <cfRule type="containsText" dxfId="134" priority="27" operator="containsText" text="finalizado">
      <formula>NOT(ISERROR(SEARCH("finalizado",I123)))</formula>
    </cfRule>
    <cfRule type="containsText" dxfId="133" priority="28" operator="containsText" text="em correção">
      <formula>NOT(ISERROR(SEARCH("em correção",I123)))</formula>
    </cfRule>
    <cfRule type="containsText" dxfId="132" priority="29" operator="containsText" text="editado pela TV">
      <formula>NOT(ISERROR(SEARCH("editado pela TV",I123)))</formula>
    </cfRule>
    <cfRule type="containsText" dxfId="131" priority="30" operator="containsText" text="em correção">
      <formula>NOT(ISERROR(SEARCH("em correção",I123)))</formula>
    </cfRule>
    <cfRule type="containsText" dxfId="130" priority="31" operator="containsText" text="enviado pelo prof">
      <formula>NOT(ISERROR(SEARCH("enviado pelo prof",I123)))</formula>
    </cfRule>
    <cfRule type="containsText" dxfId="129" priority="32" operator="containsText" text="vai gravar">
      <formula>NOT(ISERROR(SEARCH("vai gravar",I123)))</formula>
    </cfRule>
  </conditionalFormatting>
  <conditionalFormatting sqref="I131:I133">
    <cfRule type="containsText" dxfId="128" priority="17" operator="containsText" text="em edição">
      <formula>NOT(ISERROR(SEARCH("em edição",I131)))</formula>
    </cfRule>
    <cfRule type="containsText" dxfId="127" priority="18" operator="containsText" text="procedimento interno">
      <formula>NOT(ISERROR(SEARCH("procedimento interno",I131)))</formula>
    </cfRule>
    <cfRule type="containsText" dxfId="126" priority="19" operator="containsText" text="finalizado">
      <formula>NOT(ISERROR(SEARCH("finalizado",I131)))</formula>
    </cfRule>
    <cfRule type="containsText" dxfId="125" priority="20" operator="containsText" text="em correção">
      <formula>NOT(ISERROR(SEARCH("em correção",I131)))</formula>
    </cfRule>
    <cfRule type="containsText" dxfId="124" priority="21" operator="containsText" text="editado pela TV">
      <formula>NOT(ISERROR(SEARCH("editado pela TV",I131)))</formula>
    </cfRule>
    <cfRule type="containsText" dxfId="123" priority="22" operator="containsText" text="em correção">
      <formula>NOT(ISERROR(SEARCH("em correção",I131)))</formula>
    </cfRule>
    <cfRule type="containsText" dxfId="122" priority="23" operator="containsText" text="enviado pelo prof">
      <formula>NOT(ISERROR(SEARCH("enviado pelo prof",I131)))</formula>
    </cfRule>
    <cfRule type="containsText" dxfId="121" priority="24" operator="containsText" text="vai gravar">
      <formula>NOT(ISERROR(SEARCH("vai gravar",I131)))</formula>
    </cfRule>
  </conditionalFormatting>
  <conditionalFormatting sqref="I134:I136">
    <cfRule type="containsText" dxfId="120" priority="9" operator="containsText" text="em edição">
      <formula>NOT(ISERROR(SEARCH("em edição",I134)))</formula>
    </cfRule>
    <cfRule type="containsText" dxfId="119" priority="10" operator="containsText" text="procedimento interno">
      <formula>NOT(ISERROR(SEARCH("procedimento interno",I134)))</formula>
    </cfRule>
    <cfRule type="containsText" dxfId="118" priority="11" operator="containsText" text="finalizado">
      <formula>NOT(ISERROR(SEARCH("finalizado",I134)))</formula>
    </cfRule>
    <cfRule type="containsText" dxfId="117" priority="12" operator="containsText" text="em correção">
      <formula>NOT(ISERROR(SEARCH("em correção",I134)))</formula>
    </cfRule>
    <cfRule type="containsText" dxfId="116" priority="13" operator="containsText" text="editado pela TV">
      <formula>NOT(ISERROR(SEARCH("editado pela TV",I134)))</formula>
    </cfRule>
    <cfRule type="containsText" dxfId="115" priority="14" operator="containsText" text="em correção">
      <formula>NOT(ISERROR(SEARCH("em correção",I134)))</formula>
    </cfRule>
    <cfRule type="containsText" dxfId="114" priority="15" operator="containsText" text="enviado pelo prof">
      <formula>NOT(ISERROR(SEARCH("enviado pelo prof",I134)))</formula>
    </cfRule>
    <cfRule type="containsText" dxfId="113" priority="16" operator="containsText" text="vai gravar">
      <formula>NOT(ISERROR(SEARCH("vai gravar",I134)))</formula>
    </cfRule>
  </conditionalFormatting>
  <conditionalFormatting sqref="I137:I138">
    <cfRule type="containsText" dxfId="112" priority="1" operator="containsText" text="em edição">
      <formula>NOT(ISERROR(SEARCH("em edição",I137)))</formula>
    </cfRule>
    <cfRule type="containsText" dxfId="111" priority="2" operator="containsText" text="procedimento interno">
      <formula>NOT(ISERROR(SEARCH("procedimento interno",I137)))</formula>
    </cfRule>
    <cfRule type="containsText" dxfId="110" priority="3" operator="containsText" text="finalizado">
      <formula>NOT(ISERROR(SEARCH("finalizado",I137)))</formula>
    </cfRule>
    <cfRule type="containsText" dxfId="109" priority="4" operator="containsText" text="em correção">
      <formula>NOT(ISERROR(SEARCH("em correção",I137)))</formula>
    </cfRule>
    <cfRule type="containsText" dxfId="108" priority="5" operator="containsText" text="editado pela TV">
      <formula>NOT(ISERROR(SEARCH("editado pela TV",I137)))</formula>
    </cfRule>
    <cfRule type="containsText" dxfId="107" priority="6" operator="containsText" text="em correção">
      <formula>NOT(ISERROR(SEARCH("em correção",I137)))</formula>
    </cfRule>
    <cfRule type="containsText" dxfId="106" priority="7" operator="containsText" text="enviado pelo prof">
      <formula>NOT(ISERROR(SEARCH("enviado pelo prof",I137)))</formula>
    </cfRule>
    <cfRule type="containsText" dxfId="105" priority="8" operator="containsText" text="vai gravar">
      <formula>NOT(ISERROR(SEARCH("vai gravar",I137)))</formula>
    </cfRule>
  </conditionalFormatting>
  <dataValidations count="1">
    <dataValidation type="list" allowBlank="1" showInputMessage="1" showErrorMessage="1" sqref="J10 I11:I29 J30 I140:I154 J53 I31:I52 J76 I2:I9 J99 I100:I121 J122 I156:I176 J139 I123:I138 J155 I54:I75 J177 J200 I77:I98 I178:I199" xr:uid="{E9A97C22-31A0-490F-8C87-EC7DBF9D7974}">
      <formula1>" editado pela TV,finalizado,em correção,enviado pelo prof,vai gravar,em edição,procedimento interno"</formula1>
    </dataValidation>
  </dataValidations>
  <hyperlinks>
    <hyperlink ref="H11" r:id="rId1" xr:uid="{AAAF6A73-53DE-4928-8824-21423A76A002}"/>
    <hyperlink ref="H12:H29" r:id="rId2" display="ok" xr:uid="{71A89B14-1600-470F-85A1-01AF9D4BCC65}"/>
    <hyperlink ref="H184" r:id="rId3" xr:uid="{4D6A7AB1-A054-496E-A969-5E56E67075EF}"/>
    <hyperlink ref="H185" r:id="rId4" xr:uid="{6E9450EE-71C3-48A0-9EBF-3771CEB32C06}"/>
    <hyperlink ref="H186" r:id="rId5" xr:uid="{7ECC6350-1D7C-493F-8F99-66F1D290C46F}"/>
    <hyperlink ref="H182" r:id="rId6" xr:uid="{3C64F04C-C814-4337-8E72-A4EDCBCDCDE0}"/>
    <hyperlink ref="H183" r:id="rId7" xr:uid="{CBF226AC-0ABA-4E31-ACD4-B7151C18F671}"/>
    <hyperlink ref="H181" r:id="rId8" xr:uid="{7C9FBFAF-2D6E-443E-B93F-2F405FC1E7B3}"/>
    <hyperlink ref="H187" r:id="rId9" xr:uid="{35FE9829-DE7D-4CC5-B8EA-C518E98A34A6}"/>
    <hyperlink ref="H188" r:id="rId10" xr:uid="{7B92D28A-3D64-4F50-9EE8-413A7EFAC0C9}"/>
    <hyperlink ref="H189" r:id="rId11" xr:uid="{4F616AAE-2EE7-4C97-B647-5950C643ED6E}"/>
    <hyperlink ref="H190" r:id="rId12" xr:uid="{ADD18950-706D-451F-A7A8-7E0D1396CF8D}"/>
    <hyperlink ref="H191" r:id="rId13" xr:uid="{FAD41C53-389E-4010-8C3D-D04AE705B531}"/>
    <hyperlink ref="H192" r:id="rId14" xr:uid="{4404BCB1-F222-4BCA-B0C5-44A32FA4CC67}"/>
    <hyperlink ref="H77" r:id="rId15" xr:uid="{3E673B4F-B2D2-4F3F-BFFB-BF357E4D951B}"/>
    <hyperlink ref="H78:H98" r:id="rId16" display="ok" xr:uid="{2F74FD21-13B3-4349-A21F-F02226670C65}"/>
    <hyperlink ref="H156" r:id="rId17" xr:uid="{C474F020-8EA0-43AB-8DAC-C457F1A7AE2F}"/>
    <hyperlink ref="H157" r:id="rId18" xr:uid="{79FDF8A6-04D6-42AF-AE9B-12108B786B9E}"/>
    <hyperlink ref="H158" r:id="rId19" xr:uid="{3D2B99AA-505B-4F41-9997-675B2AF7C59C}"/>
    <hyperlink ref="H159" r:id="rId20" xr:uid="{C9BF3AB2-2B7A-4B37-8BD7-0277E486711A}"/>
    <hyperlink ref="H160" r:id="rId21" xr:uid="{7002A37C-2652-46ED-8CF2-28425CAC75BE}"/>
    <hyperlink ref="H193" r:id="rId22" xr:uid="{D087EE2A-3169-47B0-AB75-4F65B2B4E9E3}"/>
    <hyperlink ref="H194" r:id="rId23" xr:uid="{A5C07249-894C-459D-904B-46058063A41F}"/>
    <hyperlink ref="H195" r:id="rId24" xr:uid="{9CE8F28D-EB8A-4E66-8F4D-5D09AADF254B}"/>
    <hyperlink ref="H197" r:id="rId25" xr:uid="{DDD96F99-B94B-4DDE-8EDF-37948E92AE67}"/>
    <hyperlink ref="H198" r:id="rId26" xr:uid="{BCACAF63-B9F2-4B41-B6A5-9DF14C12A33C}"/>
    <hyperlink ref="H199" r:id="rId27" xr:uid="{9BB9FF95-A001-4355-B4B8-3476EE01185F}"/>
    <hyperlink ref="H196" r:id="rId28" xr:uid="{3DAA83B6-5538-436B-8BBA-8FF62C6AEF94}"/>
    <hyperlink ref="H2" r:id="rId29" xr:uid="{37B249B0-183F-4137-947A-12CBC4CE4C41}"/>
    <hyperlink ref="H54" r:id="rId30" xr:uid="{C245FA61-D019-4A5A-9776-752DEE41E35A}"/>
    <hyperlink ref="H161" r:id="rId31" xr:uid="{327F52A0-29CC-493F-8D51-00E293068F08}"/>
    <hyperlink ref="H162" r:id="rId32" xr:uid="{BF5C7A86-158E-4BDD-A570-68A2332AE2D0}"/>
    <hyperlink ref="H163" r:id="rId33" xr:uid="{D8D61AB4-BE88-4994-99FB-F165929FAD45}"/>
    <hyperlink ref="H164" r:id="rId34" xr:uid="{42753C09-C11B-47FD-93CF-0D33C905F77F}"/>
    <hyperlink ref="H140" r:id="rId35" xr:uid="{BB98D2AE-B31F-46D4-9916-EE3B1F661DA8}"/>
    <hyperlink ref="H141" r:id="rId36" xr:uid="{990B9553-49A3-407C-AA57-F193DA8E8CEA}"/>
    <hyperlink ref="H142" r:id="rId37" xr:uid="{805E4F7D-764E-4F77-AF1C-FDDBF8294BE7}"/>
    <hyperlink ref="H143" r:id="rId38" xr:uid="{802A156A-1C9D-412D-98E2-58C6B78CF5B5}"/>
    <hyperlink ref="H144" r:id="rId39" xr:uid="{85342D52-53A3-4EFE-99FB-96CF28169359}"/>
    <hyperlink ref="H145" r:id="rId40" xr:uid="{DDD66206-896A-4373-AF12-2172B30ADC52}"/>
    <hyperlink ref="H146" r:id="rId41" xr:uid="{CFAD29EE-FC84-4677-B607-034C79AD1BBB}"/>
    <hyperlink ref="H149" r:id="rId42" xr:uid="{113F8F66-3E9A-4FAD-A7A5-1F09F4336FF8}"/>
    <hyperlink ref="H150" r:id="rId43" xr:uid="{553F5B8B-D791-47BF-9688-CE17850818D4}"/>
    <hyperlink ref="H151" r:id="rId44" xr:uid="{5019ED15-462C-42D2-9796-664943FA0AA4}"/>
    <hyperlink ref="H152" r:id="rId45" xr:uid="{48080D01-B2F0-47BA-B6C6-AB0370C1FB4E}"/>
    <hyperlink ref="H147" r:id="rId46" xr:uid="{814DF3BF-2EA3-45B7-8475-B689406156FC}"/>
    <hyperlink ref="H148" r:id="rId47" xr:uid="{F8EFAEF4-AAD7-4443-B158-D18E5FA59BE7}"/>
    <hyperlink ref="H154" r:id="rId48" xr:uid="{5020F8AD-CD7B-46AA-855E-05FA7A55158B}"/>
    <hyperlink ref="H153" r:id="rId49" xr:uid="{9801EC64-2174-4B8A-99F4-23FD655E0964}"/>
    <hyperlink ref="H100" r:id="rId50" xr:uid="{64AD6DD2-7AE2-40D4-936C-F258108F2744}"/>
    <hyperlink ref="H101:H121" r:id="rId51" display="ok " xr:uid="{74C24B10-E411-4177-AF60-0970C1C28986}"/>
    <hyperlink ref="H165" r:id="rId52" xr:uid="{F620D7FF-44C6-4821-98CC-DBB63982F4F9}"/>
    <hyperlink ref="H166" r:id="rId53" xr:uid="{1E7D0D5E-46A4-40A0-815A-73EF2E2CD67B}"/>
    <hyperlink ref="H180" r:id="rId54" xr:uid="{B153B59E-0BC5-435D-ADE0-F52BB67F2BF5}"/>
    <hyperlink ref="H167" r:id="rId55" xr:uid="{AB6765DA-93E8-4B57-8490-5E8C649D0EF2}"/>
    <hyperlink ref="H168" r:id="rId56" xr:uid="{0C901DC0-F4EA-4402-8A6F-4255F0A82C50}"/>
    <hyperlink ref="H169" r:id="rId57" xr:uid="{FC67C657-0E3E-494E-9224-00B70D38F80F}"/>
    <hyperlink ref="H170" r:id="rId58" xr:uid="{DB556696-39BA-481F-92C8-33C7F1CF9720}"/>
    <hyperlink ref="H175" r:id="rId59" xr:uid="{B830B73F-10A6-4375-BFB2-0F91AEFD7C69}"/>
    <hyperlink ref="H176" r:id="rId60" xr:uid="{B4C3B1DA-0046-4011-8E3D-BE15E292059C}"/>
    <hyperlink ref="H171:H174" r:id="rId61" xr:uid="{F61488E6-8BB3-494B-BCEC-532D015F8421}"/>
    <hyperlink ref="G54" r:id="rId62" xr:uid="{AD0897C5-DE95-49A7-98B6-4DC48BD83EDC}"/>
    <hyperlink ref="G55" r:id="rId63" xr:uid="{DE1744EF-CCC4-42F2-A61F-FBA26B524187}"/>
    <hyperlink ref="G56" r:id="rId64" xr:uid="{3884416A-9820-45BD-9579-399E20DB6A9E}"/>
    <hyperlink ref="G57" r:id="rId65" xr:uid="{59FC6650-7AB4-44D1-931C-3CE1A4DB1EC5}"/>
    <hyperlink ref="G59" r:id="rId66" xr:uid="{8637F432-32E1-4A56-80F8-E0BC4687633F}"/>
    <hyperlink ref="G60" r:id="rId67" xr:uid="{497FCA12-D46E-42ED-BB07-2205F49919D5}"/>
    <hyperlink ref="G61" r:id="rId68" xr:uid="{C9ACF890-3C7B-4E5D-AE28-E2701F845535}"/>
    <hyperlink ref="G63" r:id="rId69" xr:uid="{B92DD6A7-D7E3-4002-892D-54FBE4E7C9D1}"/>
    <hyperlink ref="G64" r:id="rId70" xr:uid="{EB0F2144-ABBA-4C66-8984-14E55C8200F3}"/>
    <hyperlink ref="G65" r:id="rId71" xr:uid="{D00FF4B4-EC92-45D3-BE85-6DF3F7C67375}"/>
    <hyperlink ref="G66" r:id="rId72" xr:uid="{F5F250FA-63C8-4872-95EB-062137A7A488}"/>
    <hyperlink ref="G67" r:id="rId73" xr:uid="{7818D3B6-0B11-4974-9A88-F3F64B84E519}"/>
    <hyperlink ref="G68" r:id="rId74" xr:uid="{153FED8A-2696-464E-9898-3E300188BA9D}"/>
    <hyperlink ref="G69" r:id="rId75" xr:uid="{40C71FE0-85A9-4ECD-B9C8-86A0DEB12578}"/>
    <hyperlink ref="G70" r:id="rId76" xr:uid="{DED8520D-998B-4516-A87E-0F1252CCF13A}"/>
    <hyperlink ref="G71" r:id="rId77" xr:uid="{3A8DEE15-9196-44DF-BA06-2F2427747326}"/>
    <hyperlink ref="G72" r:id="rId78" xr:uid="{3A878925-D47B-4A6C-92F1-0ACA0B2C97DA}"/>
    <hyperlink ref="G73" r:id="rId79" xr:uid="{DAA60AE9-0232-4E33-891F-046D06FEE457}"/>
    <hyperlink ref="G74" r:id="rId80" xr:uid="{720AB820-1680-4C40-A418-2AF4B25C7B1A}"/>
    <hyperlink ref="G75" r:id="rId81" xr:uid="{B5396EDA-BD16-49ED-AD1D-94CB978CBEF7}"/>
    <hyperlink ref="G2" r:id="rId82" xr:uid="{1921BF3E-1A6C-46A6-AA95-4D88F1A9B7AE}"/>
    <hyperlink ref="G3" r:id="rId83" xr:uid="{BB1BD8D6-5DBB-42CB-9CB1-390693C4BF6D}"/>
    <hyperlink ref="G140" r:id="rId84" xr:uid="{811A4518-ED72-40E1-BE5D-FBBFA737EF03}"/>
    <hyperlink ref="G141" r:id="rId85" xr:uid="{FD976773-C08A-42F4-8D28-3C6AD2CAFD8B}"/>
    <hyperlink ref="G142" r:id="rId86" xr:uid="{2102EDCC-992F-4308-8BF2-F33C358894BC}"/>
    <hyperlink ref="G143" r:id="rId87" xr:uid="{9B261EF9-4255-4906-9831-AE0DED147173}"/>
    <hyperlink ref="G144" r:id="rId88" xr:uid="{5FB4118B-82C1-45D2-8AE7-91AD6082BDCE}"/>
    <hyperlink ref="G145" r:id="rId89" xr:uid="{D2AEDFC5-1AC8-4844-B6E8-56AE6965C929}"/>
    <hyperlink ref="G146" r:id="rId90" xr:uid="{D4076E8B-A47C-40A6-BF7E-B68CDD6638D1}"/>
    <hyperlink ref="G147" r:id="rId91" xr:uid="{F9BCCBA0-9C9A-43D4-929B-DA98BEA686CD}"/>
    <hyperlink ref="G148" r:id="rId92" xr:uid="{6214FDCF-407D-4ED4-B463-755D6E374101}"/>
    <hyperlink ref="G149" r:id="rId93" xr:uid="{46C89AE5-50EB-4EEE-9273-A6175E6B858B}"/>
    <hyperlink ref="G150" r:id="rId94" xr:uid="{911475AD-0AD8-46B2-ACB9-92B03931EFEF}"/>
    <hyperlink ref="G151" r:id="rId95" xr:uid="{509CA18F-FF3B-415B-9574-DD678741957D}"/>
    <hyperlink ref="G152" r:id="rId96" xr:uid="{2F9A8637-D118-4153-9C81-E73BE12FEE95}"/>
    <hyperlink ref="G153" r:id="rId97" xr:uid="{A97CC282-A9F7-4C74-A6CE-06C24F2367F9}"/>
    <hyperlink ref="G154" r:id="rId98" xr:uid="{58D9403B-C84E-4005-8ED8-5D9F5B33143F}"/>
    <hyperlink ref="G62" r:id="rId99" xr:uid="{C3CEC01A-F544-498A-9207-8C90144D1797}"/>
    <hyperlink ref="G156" r:id="rId100" xr:uid="{7580E499-4803-45A6-8716-8ACCE31B1AA4}"/>
    <hyperlink ref="G157" r:id="rId101" xr:uid="{FFADAF57-437D-4356-8F04-E690EBA22EFF}"/>
    <hyperlink ref="G158" r:id="rId102" xr:uid="{2289BB03-8709-4C33-8ECE-7B07FE5363BB}"/>
    <hyperlink ref="G159" r:id="rId103" xr:uid="{4FFACDFA-0B88-4E2E-83A1-C8FDF154B197}"/>
    <hyperlink ref="G160" r:id="rId104" xr:uid="{5B113D51-1552-4152-B9EA-67D5E62938DC}"/>
    <hyperlink ref="G161" r:id="rId105" xr:uid="{97E3B936-2B43-4E57-B7BB-24C94A81958E}"/>
    <hyperlink ref="G162" r:id="rId106" xr:uid="{429E7DB0-7D29-49FF-8569-504C8B1290EE}"/>
    <hyperlink ref="G163" r:id="rId107" xr:uid="{554EA589-EB60-4C03-9861-E970B895A4F7}"/>
    <hyperlink ref="G164" r:id="rId108" xr:uid="{96603AFF-E152-49CE-8904-F517FFCD6E4F}"/>
    <hyperlink ref="G165" r:id="rId109" xr:uid="{206A6D03-E740-4C32-B18E-D9A0512E0F7C}"/>
    <hyperlink ref="G166" r:id="rId110" xr:uid="{0EB43972-2D1B-48FA-B72F-8D944A3FFA8E}"/>
    <hyperlink ref="G167" r:id="rId111" xr:uid="{1D1A41F5-6DEB-48C6-904C-EE526BFE4BF2}"/>
    <hyperlink ref="G168" r:id="rId112" xr:uid="{A10D031F-9CC5-4D68-BF0D-54A3EEF92C4A}"/>
    <hyperlink ref="G169" r:id="rId113" xr:uid="{FDA49955-228A-4D0C-B77C-C90853C28A4D}"/>
    <hyperlink ref="G170" r:id="rId114" xr:uid="{5EEAA3EF-2FA2-4F75-BC7C-89EC7F47F71B}"/>
    <hyperlink ref="G171" r:id="rId115" xr:uid="{843E8DA5-D4A6-46AE-B9CE-EFFD53453F18}"/>
    <hyperlink ref="G172" r:id="rId116" xr:uid="{FC46294C-5DE2-4D6A-AAEA-7DD07C6CE2AE}"/>
    <hyperlink ref="G173" r:id="rId117" xr:uid="{F8693974-B14A-4DD0-9F9D-6D72BDEE66C0}"/>
    <hyperlink ref="G174" r:id="rId118" xr:uid="{4AB3F1BA-95F8-44CA-9BAC-F66535A98527}"/>
    <hyperlink ref="G175" r:id="rId119" xr:uid="{F4304FC3-20B8-4C65-AA3A-BEAC755D6E6E}"/>
    <hyperlink ref="G176" r:id="rId120" xr:uid="{7E25CE63-BF33-44B9-9B41-59963EB5EE56}"/>
    <hyperlink ref="G100" r:id="rId121" xr:uid="{FBE14189-05EC-48DF-95D1-250829BD2838}"/>
    <hyperlink ref="G101" r:id="rId122" xr:uid="{4430FBF9-B0F9-4E5E-B222-F035B6F64516}"/>
    <hyperlink ref="G102" r:id="rId123" xr:uid="{E9D1D5C7-4E30-4C4F-B6DA-13DC6FB3022B}"/>
    <hyperlink ref="G104" r:id="rId124" xr:uid="{1A60761D-F4C3-4A2F-904B-EF48CB239DE0}"/>
    <hyperlink ref="G105" r:id="rId125" xr:uid="{A7A6BB00-46F6-488E-BB6B-1B820406878D}"/>
    <hyperlink ref="G106" r:id="rId126" xr:uid="{21E4F5F0-F1EB-4111-A114-0D01962C1682}"/>
    <hyperlink ref="G107" r:id="rId127" xr:uid="{D77ECE4C-6FE9-4442-A01B-E6EF947B163C}"/>
    <hyperlink ref="G108" r:id="rId128" xr:uid="{86343A8F-1BD2-4758-8A04-AD90D845D16B}"/>
    <hyperlink ref="G109" r:id="rId129" xr:uid="{C8A78D32-75BD-4882-ADDF-F406C17F21E2}"/>
    <hyperlink ref="G110" r:id="rId130" xr:uid="{35FEC5DC-FE93-4A51-B5E5-C570363676D7}"/>
    <hyperlink ref="G111" r:id="rId131" xr:uid="{F04D27FA-ECB2-4260-A8D4-AB6ECEE57427}"/>
    <hyperlink ref="G112" r:id="rId132" xr:uid="{4D4A55A7-B6EA-40CE-953B-F1C0D50FAF73}"/>
    <hyperlink ref="G113" r:id="rId133" xr:uid="{5E70B122-DCDE-4132-A239-7AE9A452A740}"/>
    <hyperlink ref="G114" r:id="rId134" xr:uid="{727EDDFE-77DD-4649-9FE7-D66972C287E9}"/>
    <hyperlink ref="G115" r:id="rId135" xr:uid="{13ECD071-86B7-4607-B937-14776826F351}"/>
    <hyperlink ref="G116" r:id="rId136" xr:uid="{21DB28DF-F12F-42F3-892B-A363D5771A96}"/>
    <hyperlink ref="G117" r:id="rId137" xr:uid="{A49121EA-BEAE-49F5-AB08-C4FFB6AEAC1C}"/>
    <hyperlink ref="G118" r:id="rId138" xr:uid="{9BC6BC44-31B2-405C-AACE-248510EF87D5}"/>
    <hyperlink ref="G119" r:id="rId139" xr:uid="{26A99AC2-D7DB-4397-B94F-4EE621AE37DA}"/>
    <hyperlink ref="G120" r:id="rId140" xr:uid="{D954466E-1C67-4EA1-8C93-7B226E2FF66A}"/>
    <hyperlink ref="G121" r:id="rId141" xr:uid="{8E2F35C1-B41C-48D3-945E-B981D0A6D672}"/>
    <hyperlink ref="G79" r:id="rId142" xr:uid="{58115B8B-B271-4B76-B9D4-1039B773FD95}"/>
    <hyperlink ref="G80" r:id="rId143" xr:uid="{427AB5E9-C57C-46E0-B808-B3CB368864D6}"/>
    <hyperlink ref="G81" r:id="rId144" xr:uid="{895FA28A-7C38-402A-A486-9EEC6D242339}"/>
    <hyperlink ref="G82" r:id="rId145" xr:uid="{E86CC9B2-3F7A-4CCD-9B99-F9E4C89C10C3}"/>
    <hyperlink ref="G83" r:id="rId146" xr:uid="{6D3356C3-4DBF-401F-AA2E-C886B6433628}"/>
    <hyperlink ref="G84" r:id="rId147" xr:uid="{756E31CC-D83C-4ACA-88A2-BDAC41369545}"/>
    <hyperlink ref="G85" r:id="rId148" xr:uid="{BDE84E53-961A-4F7A-B4B3-A3E44C7DBCC3}"/>
    <hyperlink ref="G86" r:id="rId149" xr:uid="{B9FA7446-B7DC-459C-B671-4EDF07F7317F}"/>
    <hyperlink ref="G87" r:id="rId150" xr:uid="{7EB89BC9-CAAD-454E-9843-97AF71BF11FB}"/>
    <hyperlink ref="G88" r:id="rId151" xr:uid="{63AC1091-4CE7-4767-8AE0-242F156A4310}"/>
    <hyperlink ref="G89" r:id="rId152" xr:uid="{5A5AD5F2-A9B2-48F9-928D-AEBEFFC31B65}"/>
    <hyperlink ref="G90" r:id="rId153" xr:uid="{F1280976-AFCB-402D-8E37-2F3EDF653DEE}"/>
    <hyperlink ref="G91" r:id="rId154" xr:uid="{AE031235-BE63-4451-8F44-218E1E707713}"/>
    <hyperlink ref="G92" r:id="rId155" xr:uid="{C509385F-5513-4330-BC50-77AA48ABE873}"/>
    <hyperlink ref="G93" r:id="rId156" xr:uid="{C4B250E7-70E9-4847-B764-320D1C373670}"/>
    <hyperlink ref="G94" r:id="rId157" xr:uid="{10FDFB8F-ECB6-4919-98F6-A96E82FE63C5}"/>
    <hyperlink ref="G95" r:id="rId158" xr:uid="{F15B955D-DF36-46E7-9625-2EDE862E8978}"/>
    <hyperlink ref="G96" r:id="rId159" xr:uid="{E08BFD4D-7F3A-43D3-BBF3-5C84128EF902}"/>
    <hyperlink ref="G97" r:id="rId160" xr:uid="{D1B2438E-5109-4BA6-AF4D-6E5CC97D769C}"/>
    <hyperlink ref="G98" r:id="rId161" xr:uid="{4A0ACB85-FEF8-4119-965D-C89BF7FE5724}"/>
    <hyperlink ref="H31" r:id="rId162" xr:uid="{9463BC8B-997A-44EF-8BBF-F3A44E0DFF6B}"/>
    <hyperlink ref="H32:H52" r:id="rId163" display="ok " xr:uid="{B9CBF643-52DA-4FE5-943E-308B79420E90}"/>
    <hyperlink ref="H123" r:id="rId164" xr:uid="{61AAAFF7-E17E-4AAA-BB38-06773CC9BBF6}"/>
    <hyperlink ref="H124:H138" r:id="rId165" display="ok" xr:uid="{BCCCCEDC-B263-4392-81D8-2502C003C9F6}"/>
    <hyperlink ref="G78" r:id="rId166" xr:uid="{FE0170D5-0BCA-4C34-BDA3-20B26357A6DD}"/>
    <hyperlink ref="G77" r:id="rId167" xr:uid="{30C39C95-15EA-4EFF-AAE6-88E80812407F}"/>
    <hyperlink ref="H19:H28" r:id="rId168" display="ok" xr:uid="{9854B711-A452-47A4-847C-395B3D15D579}"/>
    <hyperlink ref="K29" r:id="rId169" xr:uid="{FC750CCE-AE4B-4D17-9C2E-9D2C155FAFE8}"/>
    <hyperlink ref="G14" r:id="rId170" xr:uid="{BD59A4D0-13A8-4230-90AD-7F60E870E3B6}"/>
    <hyperlink ref="G15" r:id="rId171" xr:uid="{E2BACFEC-1BAF-49F1-BD39-E7294B6B5607}"/>
    <hyperlink ref="G17" r:id="rId172" xr:uid="{B885FE97-910E-4222-8116-C5D28881E28B}"/>
    <hyperlink ref="G18" r:id="rId173" xr:uid="{8830D164-29CF-4494-9D38-90791AA1A54E}"/>
    <hyperlink ref="G19" r:id="rId174" xr:uid="{ED340F6A-658A-4BC1-8C75-1160EA800C38}"/>
    <hyperlink ref="G20" r:id="rId175" xr:uid="{F6F75848-7FAF-4B7E-8E88-F102FB5E3571}"/>
    <hyperlink ref="G21" r:id="rId176" xr:uid="{887F3FBF-97CB-4464-9472-4AD94F9D0443}"/>
    <hyperlink ref="G22" r:id="rId177" xr:uid="{AB31174B-F0C6-47D5-9249-5D7EDFA04720}"/>
    <hyperlink ref="G23" r:id="rId178" xr:uid="{84C4109D-602C-41EB-85D2-AC785364EE77}"/>
    <hyperlink ref="G24" r:id="rId179" xr:uid="{E2D0AE82-580A-4430-BDA5-B89DA6FB0B99}"/>
    <hyperlink ref="G25" r:id="rId180" xr:uid="{B82E3DF9-6DE6-48E4-95A6-4512B9DBBC64}"/>
    <hyperlink ref="G26" r:id="rId181" xr:uid="{1DB25573-08AC-488A-BD62-282F0A15CD7F}"/>
    <hyperlink ref="G27" r:id="rId182" xr:uid="{89C377CE-8CE3-490C-BFF0-4DEC38E1AD1A}"/>
    <hyperlink ref="G28" r:id="rId183" xr:uid="{AE70D1F2-73BB-4129-B0ED-BD6CABEF2BE7}"/>
    <hyperlink ref="G29" r:id="rId184" xr:uid="{A6D19824-6A87-4F42-8CA2-3228546238B6}"/>
    <hyperlink ref="G178" r:id="rId185" xr:uid="{A37C8001-E85A-41E6-90DD-AE4520C2D7E6}"/>
    <hyperlink ref="G181" r:id="rId186" xr:uid="{A2643C86-ACB3-4FCC-88ED-5FA278016EBF}"/>
    <hyperlink ref="G197" r:id="rId187" xr:uid="{FAA28CC2-5A8D-4E66-828C-47D6023567AA}"/>
    <hyperlink ref="G123" r:id="rId188" xr:uid="{5E46832F-7FC1-48D5-BCB1-D8F3009EFEF0}"/>
    <hyperlink ref="G124" r:id="rId189" xr:uid="{BF491242-5568-451A-81E6-086887C5CA68}"/>
    <hyperlink ref="G125" r:id="rId190" xr:uid="{72F0A72A-C18D-4100-BFBA-C3BBA815A24E}"/>
    <hyperlink ref="G126" r:id="rId191" xr:uid="{34FD9CB0-0D1B-4214-A242-DF6472489F0E}"/>
    <hyperlink ref="G127" r:id="rId192" xr:uid="{DEDA657E-4B30-48FB-A986-231D26C673E8}"/>
    <hyperlink ref="G128" r:id="rId193" xr:uid="{1DBEC3FD-33DA-4E80-9BEF-464665146D7B}"/>
    <hyperlink ref="G129" r:id="rId194" xr:uid="{15BBF31E-6198-47AF-ABAB-0E3F5A3EDE98}"/>
    <hyperlink ref="G135" r:id="rId195" xr:uid="{A26CB50C-33A5-427C-8FEC-C98B354FF53C}"/>
    <hyperlink ref="G131" r:id="rId196" xr:uid="{C3C58652-5147-4D16-8CC0-EA92A525A879}"/>
    <hyperlink ref="G132" r:id="rId197" xr:uid="{7C7A835F-08C4-4964-A604-1DA26C295668}"/>
    <hyperlink ref="G133" r:id="rId198" xr:uid="{7927F8F7-08EE-4F96-8248-2AFF29C7BEC7}"/>
    <hyperlink ref="G137" r:id="rId199" xr:uid="{955E90D8-F86C-4011-822C-579F2DC3F4D5}"/>
    <hyperlink ref="G182" r:id="rId200" xr:uid="{F23CB609-B47E-46A1-A0EC-4386E72AFADC}"/>
    <hyperlink ref="G183" r:id="rId201" xr:uid="{CD154AF5-EF5D-4F87-B085-49A4AA14F465}"/>
    <hyperlink ref="G184" r:id="rId202" xr:uid="{7E53A6A4-5F86-44BB-B974-D2725EA2F9CC}"/>
    <hyperlink ref="G185" r:id="rId203" xr:uid="{56C8EEDB-AA8A-4B08-A5A2-00BA75284B69}"/>
    <hyperlink ref="G186" r:id="rId204" xr:uid="{93938FC6-32CC-4D8A-A2CE-A93D7575CD4E}"/>
    <hyperlink ref="G187" r:id="rId205" xr:uid="{2D31CF11-B7A9-45A4-A1E4-55D5399E7769}"/>
    <hyperlink ref="G188" r:id="rId206" xr:uid="{118ABA0D-11D9-4F6A-BA63-D79BE989D472}"/>
    <hyperlink ref="G190" r:id="rId207" xr:uid="{78124B8B-5BA7-4989-A4B3-FF3BA069CF05}"/>
    <hyperlink ref="G191" r:id="rId208" xr:uid="{347F8F82-C644-4FB4-9AF1-0B129C828DD5}"/>
    <hyperlink ref="G192" r:id="rId209" xr:uid="{06532580-3D23-420B-BEF0-F34F9BAC00C2}"/>
    <hyperlink ref="G193" r:id="rId210" xr:uid="{04640530-BE86-4C17-9A2E-23FB2F422CBD}"/>
    <hyperlink ref="G195" r:id="rId211" xr:uid="{D724809C-FB44-45A1-A7D8-C2D85A0C8297}"/>
    <hyperlink ref="G196" r:id="rId212" xr:uid="{85991598-832F-4C3B-BED4-346D53660AAE}"/>
    <hyperlink ref="G198" r:id="rId213" xr:uid="{709A6D40-1A46-4B83-806F-9E388A0C777F}"/>
    <hyperlink ref="G199" r:id="rId214" xr:uid="{5777196E-D96C-4F0E-9756-C2F223C7E52A}"/>
    <hyperlink ref="G134" r:id="rId215" xr:uid="{AF46B252-8CDC-4646-AEB2-EB4E33AA76C0}"/>
    <hyperlink ref="G136" r:id="rId216" xr:uid="{7DABAEE8-B226-4672-B284-06C746F1DBDC}"/>
    <hyperlink ref="G138" r:id="rId217" xr:uid="{D263990A-3912-4F98-92EC-8C988EAD6894}"/>
    <hyperlink ref="G58" r:id="rId218" xr:uid="{70810D3D-C700-43F4-B8A7-CA83D80BA461}"/>
    <hyperlink ref="G5" r:id="rId219" xr:uid="{18C116A2-5140-4E22-A645-FB0B5A51A895}"/>
    <hyperlink ref="G11" r:id="rId220" xr:uid="{A9F22A86-FED1-445A-8974-C5006EA42A5F}"/>
    <hyperlink ref="G4" r:id="rId221" xr:uid="{48585277-DAC6-4CCC-AC6A-F0D4A429F254}"/>
    <hyperlink ref="G9" r:id="rId222" xr:uid="{C184831D-C741-45E2-9391-8A462DABB2D1}"/>
    <hyperlink ref="G8" r:id="rId223" xr:uid="{689C7B00-967F-484F-85B0-E9A53927F429}"/>
    <hyperlink ref="G7" r:id="rId224" xr:uid="{DDDE4245-7330-4D36-AD25-21D66E7723F1}"/>
    <hyperlink ref="G6" r:id="rId225" xr:uid="{DB13353C-F06D-4BB7-815F-06346FCD6E7A}"/>
    <hyperlink ref="G189" r:id="rId226" xr:uid="{3F73FE47-09E3-40FF-8CD5-119721CCCC27}"/>
    <hyperlink ref="G44" r:id="rId227" xr:uid="{53841DBB-136D-49DC-847B-2E3585EFB0CC}"/>
    <hyperlink ref="G45" r:id="rId228" xr:uid="{FC8C8761-0890-429A-8A04-FEEC5CFFDAF1}"/>
    <hyperlink ref="G46" r:id="rId229" xr:uid="{C9CF71E3-85A3-41AD-9D11-6D254A719EE8}"/>
    <hyperlink ref="G49" r:id="rId230" xr:uid="{DB695BC6-EB59-4812-8AE0-B5F85E46EF60}"/>
    <hyperlink ref="G48" r:id="rId231" xr:uid="{C0E82102-46E5-4A59-ADD5-D45189835A72}"/>
    <hyperlink ref="G47" r:id="rId232" xr:uid="{2CA33E8F-D076-4A3C-BC30-30507992AFB9}"/>
    <hyperlink ref="G52" r:id="rId233" xr:uid="{7F0F92B8-AD79-41B4-85C9-AE969FD54B35}"/>
    <hyperlink ref="G51" r:id="rId234" xr:uid="{EE59D52A-EC46-42F2-920E-9061E8497A23}"/>
    <hyperlink ref="G50" r:id="rId235" xr:uid="{471F3453-8ECF-4EA3-9C2D-55374603EA3E}"/>
    <hyperlink ref="G103" r:id="rId236" xr:uid="{30F6959E-0BFB-48C5-9BB2-7054549F06C2}"/>
    <hyperlink ref="G130" r:id="rId237" xr:uid="{F80C2777-CC26-4C06-A2BB-747E0A00359D}"/>
    <hyperlink ref="G33" r:id="rId238" xr:uid="{DC947C65-C200-4D3C-9CEE-D3F9464A2810}"/>
    <hyperlink ref="G35" r:id="rId239" xr:uid="{5C2218DB-3824-41B1-B9CD-CB590F53B2F0}"/>
    <hyperlink ref="G34" r:id="rId240" xr:uid="{04DDF8FB-AEC1-4D25-BD04-C469D53A4040}"/>
    <hyperlink ref="G39" r:id="rId241" xr:uid="{8121D908-741C-4443-8CF5-04286A1CD3D2}"/>
    <hyperlink ref="G38" r:id="rId242" xr:uid="{9CB3183D-B628-4AC4-A2C8-4454CCAA8D1B}"/>
    <hyperlink ref="G32" r:id="rId243" xr:uid="{2923CBA7-E7B3-4A0B-851F-62433DC041B6}"/>
    <hyperlink ref="G37" r:id="rId244" xr:uid="{3C23A056-21F4-48C6-A278-DC643430B2CC}"/>
    <hyperlink ref="G180" r:id="rId245" xr:uid="{AA8B7F2B-8FF2-4313-9F40-BA787DA5D997}"/>
    <hyperlink ref="G179" r:id="rId246" xr:uid="{5CA38328-6E07-41B8-BF49-316466158FCF}"/>
    <hyperlink ref="G36" r:id="rId247" xr:uid="{25584DFE-B8AA-4222-8165-319BEB9895B9}"/>
    <hyperlink ref="G12" r:id="rId248" xr:uid="{C2E459CD-45C0-45A9-AF9D-4685A8EAC725}"/>
    <hyperlink ref="G16" r:id="rId249" xr:uid="{1062CB8C-608D-495F-858F-BB9C990DED04}"/>
    <hyperlink ref="G13" r:id="rId250" xr:uid="{DC0401B7-39B4-4FB4-A0A0-078D4D0AA6BF}"/>
    <hyperlink ref="G31" r:id="rId251" xr:uid="{16E57435-BD8D-4745-88B3-6EC3BBB6DAC9}"/>
    <hyperlink ref="G40" r:id="rId252" xr:uid="{56E59A5B-8584-4AF6-BFF9-6ACED47E6668}"/>
    <hyperlink ref="G42" r:id="rId253" xr:uid="{AD5D3AB7-E118-4A63-A1FA-8D25D56F0024}"/>
    <hyperlink ref="G43" r:id="rId254" xr:uid="{7D3F6912-6F4A-4F22-9511-222D41AAD85C}"/>
    <hyperlink ref="G41" r:id="rId255" xr:uid="{E1126387-F5B1-468C-ADF4-72289E4359FF}"/>
  </hyperlinks>
  <pageMargins left="0.7" right="0.7" top="0.75" bottom="0.75" header="0.3" footer="0.3"/>
  <legacyDrawing r:id="rId25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007B-68F3-43E6-AD32-BEE5DFB9FDF9}">
  <sheetPr>
    <tabColor theme="9" tint="0.79998168889431442"/>
  </sheetPr>
  <dimension ref="A1:L315"/>
  <sheetViews>
    <sheetView workbookViewId="0">
      <pane ySplit="2" topLeftCell="A3" activePane="bottomLeft" state="frozen"/>
      <selection pane="bottomLeft" activeCell="N265" sqref="N265"/>
    </sheetView>
  </sheetViews>
  <sheetFormatPr defaultRowHeight="15" customHeight="1"/>
  <cols>
    <col min="1" max="1" width="9.7109375" style="195" customWidth="1"/>
    <col min="2" max="2" width="16.28515625" style="195" customWidth="1"/>
    <col min="3" max="3" width="9.85546875" style="44" customWidth="1"/>
    <col min="4" max="4" width="9.42578125" customWidth="1"/>
    <col min="5" max="5" width="43.85546875" style="405" customWidth="1"/>
    <col min="6" max="6" width="33.7109375" style="44" customWidth="1"/>
    <col min="7" max="7" width="31.85546875" customWidth="1"/>
    <col min="8" max="8" width="31.28515625" style="18" customWidth="1"/>
    <col min="9" max="9" width="13.28515625" style="44" customWidth="1"/>
    <col min="10" max="10" width="7.85546875" customWidth="1"/>
    <col min="11" max="11" width="11" style="169" customWidth="1"/>
    <col min="12" max="12" width="9.140625" style="18"/>
  </cols>
  <sheetData>
    <row r="1" spans="1:12" ht="15" customHeight="1">
      <c r="A1" s="161"/>
      <c r="B1" s="161"/>
      <c r="C1" s="161"/>
      <c r="D1" s="161"/>
      <c r="E1" s="404"/>
      <c r="F1" s="161"/>
      <c r="G1" s="607" t="s">
        <v>2193</v>
      </c>
      <c r="H1" s="608"/>
      <c r="I1" s="609"/>
      <c r="J1" s="607" t="s">
        <v>2194</v>
      </c>
      <c r="K1" s="608"/>
      <c r="L1" s="609"/>
    </row>
    <row r="2" spans="1:12" ht="43.5" customHeight="1">
      <c r="A2" s="161" t="s">
        <v>0</v>
      </c>
      <c r="B2" s="161" t="s">
        <v>1</v>
      </c>
      <c r="C2" s="161" t="s">
        <v>2195</v>
      </c>
      <c r="D2" s="161" t="s">
        <v>2196</v>
      </c>
      <c r="E2" s="404" t="s">
        <v>2197</v>
      </c>
      <c r="F2" s="161" t="s">
        <v>2198</v>
      </c>
      <c r="G2" s="163" t="s">
        <v>2199</v>
      </c>
      <c r="H2" s="489" t="s">
        <v>2200</v>
      </c>
      <c r="I2" s="163" t="s">
        <v>2201</v>
      </c>
      <c r="J2" s="163" t="s">
        <v>2202</v>
      </c>
      <c r="K2" s="163" t="s">
        <v>2</v>
      </c>
      <c r="L2" s="85" t="s">
        <v>6</v>
      </c>
    </row>
    <row r="3" spans="1:12" ht="15" customHeight="1">
      <c r="A3" s="619" t="s">
        <v>129</v>
      </c>
      <c r="B3" s="621" t="str">
        <f>VLOOKUP(A3,Geral!$A$1:$D$43,2,FALSE)</f>
        <v>Física do Movimento (Engenharia de Computação 2020.1)</v>
      </c>
      <c r="C3" s="622" t="s">
        <v>245</v>
      </c>
      <c r="D3" s="231" t="s">
        <v>184</v>
      </c>
      <c r="E3" s="405" t="s">
        <v>2203</v>
      </c>
      <c r="F3" s="233" t="s">
        <v>2204</v>
      </c>
      <c r="H3" s="495" t="s">
        <v>2205</v>
      </c>
      <c r="I3" s="44" t="s">
        <v>187</v>
      </c>
      <c r="J3" s="239" t="s">
        <v>187</v>
      </c>
      <c r="L3" s="589" t="str">
        <f>VLOOKUP(A3,Geral!A:G,7,0)</f>
        <v>2024.2 AC</v>
      </c>
    </row>
    <row r="4" spans="1:12" ht="15" customHeight="1">
      <c r="A4" s="620"/>
      <c r="B4" s="600"/>
      <c r="C4" s="623"/>
      <c r="D4" s="231" t="s">
        <v>190</v>
      </c>
      <c r="E4" s="405" t="s">
        <v>2206</v>
      </c>
      <c r="F4" s="96" t="s">
        <v>2207</v>
      </c>
      <c r="H4" s="495" t="s">
        <v>2208</v>
      </c>
      <c r="I4" s="44" t="s">
        <v>187</v>
      </c>
      <c r="J4" s="239" t="s">
        <v>187</v>
      </c>
      <c r="L4" s="572"/>
    </row>
    <row r="5" spans="1:12" ht="15" customHeight="1">
      <c r="A5" s="620"/>
      <c r="B5" s="600"/>
      <c r="C5" s="624"/>
      <c r="D5" s="231" t="s">
        <v>195</v>
      </c>
      <c r="E5" s="405" t="s">
        <v>2209</v>
      </c>
      <c r="F5" s="96" t="s">
        <v>2210</v>
      </c>
      <c r="H5" s="495" t="s">
        <v>2211</v>
      </c>
      <c r="I5" s="44" t="s">
        <v>187</v>
      </c>
      <c r="J5" s="239" t="s">
        <v>187</v>
      </c>
      <c r="L5" s="572"/>
    </row>
    <row r="6" spans="1:12" ht="15" customHeight="1">
      <c r="A6" s="620"/>
      <c r="B6" s="600"/>
      <c r="C6" s="622" t="s">
        <v>256</v>
      </c>
      <c r="D6" s="234" t="s">
        <v>199</v>
      </c>
      <c r="E6" s="405" t="s">
        <v>2212</v>
      </c>
      <c r="F6" s="96" t="s">
        <v>2213</v>
      </c>
      <c r="H6" s="495" t="s">
        <v>2214</v>
      </c>
      <c r="I6" s="44" t="s">
        <v>187</v>
      </c>
      <c r="J6" s="239" t="s">
        <v>187</v>
      </c>
      <c r="L6" s="572"/>
    </row>
    <row r="7" spans="1:12" ht="15" customHeight="1">
      <c r="A7" s="620"/>
      <c r="B7" s="600"/>
      <c r="C7" s="623"/>
      <c r="D7" s="234" t="s">
        <v>204</v>
      </c>
      <c r="E7" s="405" t="s">
        <v>2215</v>
      </c>
      <c r="F7" s="96" t="s">
        <v>2216</v>
      </c>
      <c r="H7" s="495" t="s">
        <v>2217</v>
      </c>
      <c r="I7" s="44" t="s">
        <v>187</v>
      </c>
      <c r="J7" s="239" t="s">
        <v>187</v>
      </c>
      <c r="L7" s="572"/>
    </row>
    <row r="8" spans="1:12" ht="15" customHeight="1">
      <c r="A8" s="620"/>
      <c r="B8" s="600"/>
      <c r="C8" s="623"/>
      <c r="D8" s="234" t="s">
        <v>208</v>
      </c>
      <c r="E8" s="405" t="s">
        <v>2218</v>
      </c>
      <c r="F8" s="162" t="s">
        <v>2219</v>
      </c>
      <c r="H8" s="495" t="s">
        <v>2220</v>
      </c>
      <c r="I8" s="44" t="s">
        <v>187</v>
      </c>
      <c r="J8" s="239" t="s">
        <v>187</v>
      </c>
      <c r="L8" s="572"/>
    </row>
    <row r="9" spans="1:12" ht="15" customHeight="1">
      <c r="A9" s="620"/>
      <c r="B9" s="600"/>
      <c r="C9" s="623" t="s">
        <v>266</v>
      </c>
      <c r="D9" s="231" t="s">
        <v>213</v>
      </c>
      <c r="E9" s="405" t="s">
        <v>2221</v>
      </c>
      <c r="F9" s="96" t="s">
        <v>2222</v>
      </c>
      <c r="H9" s="495" t="s">
        <v>2223</v>
      </c>
      <c r="I9" s="44" t="s">
        <v>187</v>
      </c>
      <c r="J9" s="239" t="s">
        <v>187</v>
      </c>
      <c r="L9" s="572"/>
    </row>
    <row r="10" spans="1:12" ht="15" customHeight="1">
      <c r="A10" s="620"/>
      <c r="B10" s="600"/>
      <c r="C10" s="623"/>
      <c r="D10" s="231" t="s">
        <v>270</v>
      </c>
      <c r="E10" s="405" t="s">
        <v>2224</v>
      </c>
      <c r="F10" s="96" t="s">
        <v>2225</v>
      </c>
      <c r="H10" s="495" t="s">
        <v>2226</v>
      </c>
      <c r="I10" s="44" t="s">
        <v>187</v>
      </c>
      <c r="J10" s="239" t="s">
        <v>187</v>
      </c>
      <c r="L10" s="572"/>
    </row>
    <row r="11" spans="1:12" ht="15" customHeight="1">
      <c r="A11" s="620"/>
      <c r="B11" s="600"/>
      <c r="C11" s="623"/>
      <c r="D11" s="231" t="s">
        <v>274</v>
      </c>
      <c r="E11" s="405" t="s">
        <v>2227</v>
      </c>
      <c r="F11" s="96" t="s">
        <v>2228</v>
      </c>
      <c r="H11" s="495" t="s">
        <v>2229</v>
      </c>
      <c r="I11" s="44" t="s">
        <v>187</v>
      </c>
      <c r="J11" s="239" t="s">
        <v>187</v>
      </c>
      <c r="L11" s="572"/>
    </row>
    <row r="12" spans="1:12" ht="15" customHeight="1">
      <c r="A12" s="620"/>
      <c r="B12" s="600"/>
      <c r="C12" s="623" t="s">
        <v>278</v>
      </c>
      <c r="D12" s="234" t="s">
        <v>279</v>
      </c>
      <c r="E12" s="405" t="s">
        <v>2230</v>
      </c>
      <c r="F12" s="96" t="s">
        <v>2231</v>
      </c>
      <c r="H12" s="495" t="s">
        <v>2232</v>
      </c>
      <c r="I12" s="44" t="s">
        <v>187</v>
      </c>
      <c r="J12" s="239" t="s">
        <v>187</v>
      </c>
      <c r="L12" s="572"/>
    </row>
    <row r="13" spans="1:12" ht="15" customHeight="1">
      <c r="A13" s="620"/>
      <c r="B13" s="600"/>
      <c r="C13" s="623"/>
      <c r="D13" s="234" t="s">
        <v>283</v>
      </c>
      <c r="E13" s="405" t="s">
        <v>2233</v>
      </c>
      <c r="F13" s="96" t="s">
        <v>2234</v>
      </c>
      <c r="H13" s="495" t="s">
        <v>2235</v>
      </c>
      <c r="I13" s="44" t="s">
        <v>187</v>
      </c>
      <c r="J13" s="239" t="s">
        <v>187</v>
      </c>
      <c r="L13" s="572"/>
    </row>
    <row r="14" spans="1:12" ht="15" customHeight="1">
      <c r="A14" s="620"/>
      <c r="B14" s="600"/>
      <c r="C14" s="623"/>
      <c r="D14" s="235" t="s">
        <v>287</v>
      </c>
      <c r="E14" s="405" t="s">
        <v>2236</v>
      </c>
      <c r="F14" s="96" t="s">
        <v>2237</v>
      </c>
      <c r="H14" s="495" t="s">
        <v>2238</v>
      </c>
      <c r="I14" s="44" t="s">
        <v>187</v>
      </c>
      <c r="J14" s="239" t="s">
        <v>187</v>
      </c>
      <c r="L14" s="572"/>
    </row>
    <row r="15" spans="1:12" ht="15" customHeight="1">
      <c r="A15" s="620"/>
      <c r="B15" s="600"/>
      <c r="C15" s="623" t="s">
        <v>291</v>
      </c>
      <c r="D15" s="231" t="s">
        <v>292</v>
      </c>
      <c r="E15" s="405" t="s">
        <v>2239</v>
      </c>
      <c r="F15" s="162" t="s">
        <v>2240</v>
      </c>
      <c r="H15" s="495" t="s">
        <v>2241</v>
      </c>
      <c r="I15" s="44" t="s">
        <v>187</v>
      </c>
      <c r="J15" s="239" t="s">
        <v>187</v>
      </c>
      <c r="L15" s="572"/>
    </row>
    <row r="16" spans="1:12" ht="15" customHeight="1">
      <c r="A16" s="620"/>
      <c r="B16" s="600"/>
      <c r="C16" s="623"/>
      <c r="D16" s="231" t="s">
        <v>297</v>
      </c>
      <c r="E16" s="405" t="s">
        <v>2242</v>
      </c>
      <c r="F16" s="96" t="s">
        <v>2243</v>
      </c>
      <c r="H16" s="495" t="s">
        <v>2244</v>
      </c>
      <c r="I16" s="44" t="s">
        <v>187</v>
      </c>
      <c r="J16" s="239" t="s">
        <v>187</v>
      </c>
      <c r="L16" s="572"/>
    </row>
    <row r="17" spans="1:12" ht="15" customHeight="1">
      <c r="A17" s="620"/>
      <c r="B17" s="600"/>
      <c r="C17" s="623"/>
      <c r="D17" s="231" t="s">
        <v>301</v>
      </c>
      <c r="E17" s="406" t="s">
        <v>2245</v>
      </c>
      <c r="F17" s="96" t="s">
        <v>2246</v>
      </c>
      <c r="H17" s="60" t="s">
        <v>2247</v>
      </c>
      <c r="I17" s="44" t="s">
        <v>187</v>
      </c>
      <c r="J17" s="239" t="s">
        <v>187</v>
      </c>
      <c r="L17" s="572"/>
    </row>
    <row r="18" spans="1:12" ht="15" customHeight="1">
      <c r="A18" s="620"/>
      <c r="B18" s="600"/>
      <c r="C18" s="623" t="s">
        <v>305</v>
      </c>
      <c r="D18" s="234" t="s">
        <v>306</v>
      </c>
      <c r="E18" s="405" t="s">
        <v>2248</v>
      </c>
      <c r="F18" s="96" t="s">
        <v>2249</v>
      </c>
      <c r="H18" s="495" t="s">
        <v>2250</v>
      </c>
      <c r="I18" s="44" t="s">
        <v>187</v>
      </c>
      <c r="J18" s="239" t="s">
        <v>187</v>
      </c>
      <c r="L18" s="572"/>
    </row>
    <row r="19" spans="1:12" ht="15" customHeight="1">
      <c r="A19" s="620"/>
      <c r="B19" s="600"/>
      <c r="C19" s="623"/>
      <c r="D19" s="234" t="s">
        <v>425</v>
      </c>
      <c r="E19" s="405" t="s">
        <v>2251</v>
      </c>
      <c r="F19" s="96" t="s">
        <v>2252</v>
      </c>
      <c r="H19" s="495" t="s">
        <v>2253</v>
      </c>
      <c r="I19" s="44" t="s">
        <v>187</v>
      </c>
      <c r="J19" s="239" t="s">
        <v>187</v>
      </c>
      <c r="L19" s="572"/>
    </row>
    <row r="20" spans="1:12" ht="15" customHeight="1">
      <c r="A20" s="620"/>
      <c r="B20" s="600"/>
      <c r="C20" s="623"/>
      <c r="D20" s="234" t="s">
        <v>429</v>
      </c>
      <c r="E20" s="405" t="s">
        <v>2254</v>
      </c>
      <c r="F20" s="96" t="s">
        <v>2255</v>
      </c>
      <c r="H20" s="495" t="s">
        <v>2256</v>
      </c>
      <c r="I20" s="44" t="s">
        <v>187</v>
      </c>
      <c r="J20" s="239" t="s">
        <v>187</v>
      </c>
      <c r="L20" s="572"/>
    </row>
    <row r="21" spans="1:12" ht="15" customHeight="1">
      <c r="A21" s="620"/>
      <c r="B21" s="600"/>
      <c r="C21" s="625" t="s">
        <v>365</v>
      </c>
      <c r="D21" s="231" t="s">
        <v>433</v>
      </c>
      <c r="E21" s="405" t="s">
        <v>2257</v>
      </c>
      <c r="F21" s="96" t="s">
        <v>2258</v>
      </c>
      <c r="H21" s="495" t="s">
        <v>2259</v>
      </c>
      <c r="I21" s="44" t="s">
        <v>187</v>
      </c>
      <c r="J21" s="239" t="s">
        <v>187</v>
      </c>
      <c r="L21" s="572"/>
    </row>
    <row r="22" spans="1:12" ht="15" customHeight="1">
      <c r="A22" s="620"/>
      <c r="B22" s="600"/>
      <c r="C22" s="625"/>
      <c r="D22" s="231" t="s">
        <v>437</v>
      </c>
      <c r="E22" s="405" t="s">
        <v>2260</v>
      </c>
      <c r="F22" s="96" t="s">
        <v>2261</v>
      </c>
      <c r="H22" s="495" t="s">
        <v>2262</v>
      </c>
      <c r="I22" s="44" t="s">
        <v>187</v>
      </c>
      <c r="J22" s="239" t="s">
        <v>187</v>
      </c>
      <c r="L22" s="572"/>
    </row>
    <row r="23" spans="1:12" ht="15" customHeight="1">
      <c r="A23" s="620"/>
      <c r="B23" s="600"/>
      <c r="C23" s="625"/>
      <c r="D23" s="231" t="s">
        <v>639</v>
      </c>
      <c r="E23" s="405" t="s">
        <v>2263</v>
      </c>
      <c r="F23" s="96" t="s">
        <v>2264</v>
      </c>
      <c r="H23" s="495" t="s">
        <v>2265</v>
      </c>
      <c r="I23" s="44" t="s">
        <v>187</v>
      </c>
      <c r="J23" s="239" t="s">
        <v>187</v>
      </c>
      <c r="L23" s="572"/>
    </row>
    <row r="24" spans="1:12" ht="15" customHeight="1">
      <c r="A24" s="194"/>
      <c r="B24" s="194"/>
      <c r="C24" s="189"/>
      <c r="D24" s="189"/>
      <c r="E24" s="407"/>
      <c r="F24" s="189"/>
      <c r="G24" s="228"/>
      <c r="H24" s="228"/>
      <c r="I24" s="180"/>
      <c r="J24" s="180"/>
      <c r="K24" s="192"/>
      <c r="L24" s="180"/>
    </row>
    <row r="25" spans="1:12" s="179" customFormat="1" ht="15" customHeight="1">
      <c r="A25" s="638" t="s">
        <v>125</v>
      </c>
      <c r="B25" s="641" t="str">
        <f>VLOOKUP(A25,Geral!$A$1:$D$50,2,FALSE)</f>
        <v>Matemática básica</v>
      </c>
      <c r="C25" s="643" t="s">
        <v>245</v>
      </c>
      <c r="D25" s="196" t="s">
        <v>2266</v>
      </c>
      <c r="E25" s="408" t="s">
        <v>2267</v>
      </c>
      <c r="F25" s="197" t="s">
        <v>2268</v>
      </c>
      <c r="G25" s="224" t="s">
        <v>2269</v>
      </c>
      <c r="H25" s="490" t="s">
        <v>2270</v>
      </c>
      <c r="I25" s="178" t="s">
        <v>187</v>
      </c>
      <c r="J25" s="178" t="s">
        <v>187</v>
      </c>
      <c r="K25" s="647" t="str">
        <f>VLOOKUP(A25,Geral!$A$1:$D$50,3,FALSE)</f>
        <v>Prof.Rúbia Barcelos Amaral</v>
      </c>
      <c r="L25" s="634" t="str">
        <f>VLOOKUP(A25,Geral!A:G,7,0)</f>
        <v>2024.2 AC</v>
      </c>
    </row>
    <row r="26" spans="1:12" s="179" customFormat="1" ht="15" customHeight="1">
      <c r="A26" s="639"/>
      <c r="B26" s="642"/>
      <c r="C26" s="644"/>
      <c r="D26" s="198" t="s">
        <v>184</v>
      </c>
      <c r="E26" s="409" t="s">
        <v>2271</v>
      </c>
      <c r="F26" s="199" t="s">
        <v>2272</v>
      </c>
      <c r="G26" s="225" t="s">
        <v>2273</v>
      </c>
      <c r="H26" s="491" t="s">
        <v>2274</v>
      </c>
      <c r="I26" s="178" t="s">
        <v>187</v>
      </c>
      <c r="J26" s="178" t="s">
        <v>187</v>
      </c>
      <c r="K26" s="627"/>
      <c r="L26" s="634"/>
    </row>
    <row r="27" spans="1:12" s="179" customFormat="1" ht="15" customHeight="1">
      <c r="A27" s="639"/>
      <c r="B27" s="642"/>
      <c r="C27" s="644"/>
      <c r="D27" s="198" t="s">
        <v>190</v>
      </c>
      <c r="E27" s="409" t="s">
        <v>2275</v>
      </c>
      <c r="F27" s="199" t="s">
        <v>2276</v>
      </c>
      <c r="G27" s="225" t="s">
        <v>2277</v>
      </c>
      <c r="H27" s="491" t="s">
        <v>2278</v>
      </c>
      <c r="I27" s="178" t="s">
        <v>187</v>
      </c>
      <c r="J27" s="178" t="s">
        <v>187</v>
      </c>
      <c r="K27" s="627"/>
      <c r="L27" s="634"/>
    </row>
    <row r="28" spans="1:12" s="179" customFormat="1" ht="15" customHeight="1">
      <c r="A28" s="639"/>
      <c r="B28" s="642"/>
      <c r="C28" s="644"/>
      <c r="D28" s="198" t="s">
        <v>195</v>
      </c>
      <c r="E28" s="409" t="s">
        <v>2279</v>
      </c>
      <c r="F28" s="200" t="s">
        <v>2280</v>
      </c>
      <c r="G28" s="225" t="s">
        <v>2281</v>
      </c>
      <c r="H28" s="491" t="s">
        <v>2282</v>
      </c>
      <c r="I28" s="178" t="s">
        <v>187</v>
      </c>
      <c r="J28" s="178" t="s">
        <v>187</v>
      </c>
      <c r="K28" s="627"/>
      <c r="L28" s="634"/>
    </row>
    <row r="29" spans="1:12" s="179" customFormat="1" ht="15" customHeight="1">
      <c r="A29" s="639"/>
      <c r="B29" s="642"/>
      <c r="C29" s="645"/>
      <c r="D29" s="198" t="s">
        <v>2283</v>
      </c>
      <c r="E29" s="409" t="s">
        <v>2284</v>
      </c>
      <c r="F29" s="200" t="s">
        <v>2285</v>
      </c>
      <c r="G29" s="225" t="s">
        <v>2286</v>
      </c>
      <c r="H29" s="491" t="s">
        <v>2287</v>
      </c>
      <c r="I29" s="178" t="s">
        <v>187</v>
      </c>
      <c r="J29" s="178" t="s">
        <v>187</v>
      </c>
      <c r="K29" s="627"/>
      <c r="L29" s="634"/>
    </row>
    <row r="30" spans="1:12" s="179" customFormat="1" ht="15" customHeight="1">
      <c r="A30" s="639"/>
      <c r="B30" s="642"/>
      <c r="C30" s="646" t="s">
        <v>256</v>
      </c>
      <c r="D30" s="198" t="s">
        <v>199</v>
      </c>
      <c r="E30" s="409" t="s">
        <v>2288</v>
      </c>
      <c r="F30" s="200" t="s">
        <v>2289</v>
      </c>
      <c r="G30" s="225" t="s">
        <v>2290</v>
      </c>
      <c r="H30" s="491" t="s">
        <v>2291</v>
      </c>
      <c r="I30" s="178" t="s">
        <v>187</v>
      </c>
      <c r="J30" s="178" t="s">
        <v>187</v>
      </c>
      <c r="K30" s="627"/>
      <c r="L30" s="634"/>
    </row>
    <row r="31" spans="1:12" s="179" customFormat="1" ht="15" customHeight="1">
      <c r="A31" s="639"/>
      <c r="B31" s="642"/>
      <c r="C31" s="644"/>
      <c r="D31" s="198" t="s">
        <v>204</v>
      </c>
      <c r="E31" s="409" t="s">
        <v>2292</v>
      </c>
      <c r="F31" s="200" t="s">
        <v>2293</v>
      </c>
      <c r="G31" s="225" t="s">
        <v>2294</v>
      </c>
      <c r="H31" s="491" t="s">
        <v>2295</v>
      </c>
      <c r="I31" s="178" t="s">
        <v>187</v>
      </c>
      <c r="J31" s="178" t="s">
        <v>187</v>
      </c>
      <c r="K31" s="627"/>
      <c r="L31" s="634"/>
    </row>
    <row r="32" spans="1:12" s="179" customFormat="1" ht="15" customHeight="1">
      <c r="A32" s="639"/>
      <c r="B32" s="642"/>
      <c r="C32" s="644"/>
      <c r="D32" s="198" t="s">
        <v>208</v>
      </c>
      <c r="E32" s="409" t="s">
        <v>2296</v>
      </c>
      <c r="F32" s="200" t="s">
        <v>2297</v>
      </c>
      <c r="G32" s="225" t="s">
        <v>2298</v>
      </c>
      <c r="H32" s="491" t="s">
        <v>2299</v>
      </c>
      <c r="I32" s="178" t="s">
        <v>187</v>
      </c>
      <c r="J32" s="178" t="s">
        <v>187</v>
      </c>
      <c r="K32" s="627"/>
      <c r="L32" s="634"/>
    </row>
    <row r="33" spans="1:12" s="179" customFormat="1" ht="15" customHeight="1">
      <c r="A33" s="639"/>
      <c r="B33" s="642"/>
      <c r="C33" s="645"/>
      <c r="D33" s="198" t="s">
        <v>2300</v>
      </c>
      <c r="E33" s="409" t="s">
        <v>2301</v>
      </c>
      <c r="F33" s="200" t="s">
        <v>2302</v>
      </c>
      <c r="G33" s="225" t="s">
        <v>2303</v>
      </c>
      <c r="H33" s="491" t="s">
        <v>2304</v>
      </c>
      <c r="I33" s="178" t="s">
        <v>187</v>
      </c>
      <c r="J33" s="178" t="s">
        <v>187</v>
      </c>
      <c r="K33" s="627"/>
      <c r="L33" s="634"/>
    </row>
    <row r="34" spans="1:12" s="179" customFormat="1" ht="15" customHeight="1">
      <c r="A34" s="639"/>
      <c r="B34" s="642"/>
      <c r="C34" s="646" t="s">
        <v>266</v>
      </c>
      <c r="D34" s="198" t="s">
        <v>213</v>
      </c>
      <c r="E34" s="409" t="s">
        <v>2305</v>
      </c>
      <c r="F34" s="200" t="s">
        <v>2306</v>
      </c>
      <c r="G34" s="225" t="s">
        <v>2307</v>
      </c>
      <c r="H34" s="491" t="s">
        <v>2308</v>
      </c>
      <c r="I34" s="178" t="s">
        <v>187</v>
      </c>
      <c r="J34" s="178" t="s">
        <v>187</v>
      </c>
      <c r="K34" s="627"/>
      <c r="L34" s="634"/>
    </row>
    <row r="35" spans="1:12" s="179" customFormat="1" ht="15" customHeight="1">
      <c r="A35" s="639"/>
      <c r="B35" s="642"/>
      <c r="C35" s="644"/>
      <c r="D35" s="198" t="s">
        <v>270</v>
      </c>
      <c r="E35" s="409" t="s">
        <v>2309</v>
      </c>
      <c r="F35" s="200" t="s">
        <v>2310</v>
      </c>
      <c r="G35" s="225" t="s">
        <v>2311</v>
      </c>
      <c r="H35" s="491" t="s">
        <v>2312</v>
      </c>
      <c r="I35" s="178" t="s">
        <v>187</v>
      </c>
      <c r="J35" s="178" t="s">
        <v>187</v>
      </c>
      <c r="K35" s="627"/>
      <c r="L35" s="634"/>
    </row>
    <row r="36" spans="1:12" s="179" customFormat="1" ht="15" customHeight="1">
      <c r="A36" s="639"/>
      <c r="B36" s="642"/>
      <c r="C36" s="644"/>
      <c r="D36" s="198" t="s">
        <v>2313</v>
      </c>
      <c r="E36" s="409" t="s">
        <v>2314</v>
      </c>
      <c r="F36" s="201" t="s">
        <v>2315</v>
      </c>
      <c r="G36" s="225" t="s">
        <v>2316</v>
      </c>
      <c r="H36" s="491" t="s">
        <v>2317</v>
      </c>
      <c r="I36" s="178" t="s">
        <v>187</v>
      </c>
      <c r="J36" s="178" t="s">
        <v>187</v>
      </c>
      <c r="K36" s="627"/>
      <c r="L36" s="634"/>
    </row>
    <row r="37" spans="1:12" s="179" customFormat="1" ht="15" customHeight="1">
      <c r="A37" s="639"/>
      <c r="B37" s="642"/>
      <c r="C37" s="645"/>
      <c r="D37" s="198" t="s">
        <v>274</v>
      </c>
      <c r="E37" s="409" t="s">
        <v>2318</v>
      </c>
      <c r="F37" s="200" t="s">
        <v>2319</v>
      </c>
      <c r="G37" s="225" t="s">
        <v>2320</v>
      </c>
      <c r="H37" s="491" t="s">
        <v>2321</v>
      </c>
      <c r="I37" s="178" t="s">
        <v>187</v>
      </c>
      <c r="J37" s="178" t="s">
        <v>187</v>
      </c>
      <c r="K37" s="627"/>
      <c r="L37" s="634"/>
    </row>
    <row r="38" spans="1:12" s="179" customFormat="1" ht="15" customHeight="1">
      <c r="A38" s="639"/>
      <c r="B38" s="642"/>
      <c r="C38" s="646" t="s">
        <v>278</v>
      </c>
      <c r="D38" s="198" t="s">
        <v>279</v>
      </c>
      <c r="E38" s="409" t="s">
        <v>2322</v>
      </c>
      <c r="F38" s="200" t="s">
        <v>2323</v>
      </c>
      <c r="G38" s="225" t="s">
        <v>2324</v>
      </c>
      <c r="H38" s="491" t="s">
        <v>2325</v>
      </c>
      <c r="I38" s="178" t="s">
        <v>187</v>
      </c>
      <c r="J38" s="178" t="s">
        <v>187</v>
      </c>
      <c r="K38" s="627"/>
      <c r="L38" s="634"/>
    </row>
    <row r="39" spans="1:12" s="179" customFormat="1" ht="15" customHeight="1">
      <c r="A39" s="639"/>
      <c r="B39" s="642"/>
      <c r="C39" s="644"/>
      <c r="D39" s="198" t="s">
        <v>283</v>
      </c>
      <c r="E39" s="409" t="s">
        <v>2326</v>
      </c>
      <c r="F39" s="200" t="s">
        <v>2327</v>
      </c>
      <c r="G39" s="225" t="s">
        <v>2328</v>
      </c>
      <c r="H39" s="491" t="s">
        <v>2329</v>
      </c>
      <c r="I39" s="178" t="s">
        <v>187</v>
      </c>
      <c r="J39" s="178" t="s">
        <v>187</v>
      </c>
      <c r="K39" s="627"/>
      <c r="L39" s="634"/>
    </row>
    <row r="40" spans="1:12" s="179" customFormat="1" ht="15" customHeight="1">
      <c r="A40" s="639"/>
      <c r="B40" s="642"/>
      <c r="C40" s="644"/>
      <c r="D40" s="198" t="s">
        <v>2330</v>
      </c>
      <c r="E40" s="409" t="s">
        <v>2331</v>
      </c>
      <c r="F40" s="200" t="s">
        <v>2332</v>
      </c>
      <c r="G40" s="225" t="s">
        <v>2333</v>
      </c>
      <c r="H40" s="491" t="s">
        <v>2334</v>
      </c>
      <c r="I40" s="178" t="s">
        <v>187</v>
      </c>
      <c r="J40" s="178" t="s">
        <v>187</v>
      </c>
      <c r="K40" s="627"/>
      <c r="L40" s="634"/>
    </row>
    <row r="41" spans="1:12" s="179" customFormat="1" ht="15" customHeight="1">
      <c r="A41" s="639"/>
      <c r="B41" s="642"/>
      <c r="C41" s="645"/>
      <c r="D41" s="198" t="s">
        <v>287</v>
      </c>
      <c r="E41" s="409" t="s">
        <v>2335</v>
      </c>
      <c r="F41" s="200" t="s">
        <v>2336</v>
      </c>
      <c r="G41" s="241" t="s">
        <v>2337</v>
      </c>
      <c r="H41" s="491" t="s">
        <v>2338</v>
      </c>
      <c r="I41" s="178"/>
      <c r="J41" s="178"/>
      <c r="K41" s="627"/>
      <c r="L41" s="634"/>
    </row>
    <row r="42" spans="1:12" s="179" customFormat="1" ht="15" customHeight="1">
      <c r="A42" s="639"/>
      <c r="B42" s="642"/>
      <c r="C42" s="646" t="s">
        <v>291</v>
      </c>
      <c r="D42" s="198" t="s">
        <v>292</v>
      </c>
      <c r="E42" s="409" t="s">
        <v>2339</v>
      </c>
      <c r="F42" s="200" t="s">
        <v>2340</v>
      </c>
      <c r="G42" s="225" t="s">
        <v>2341</v>
      </c>
      <c r="H42" s="491" t="s">
        <v>2342</v>
      </c>
      <c r="I42" s="178" t="s">
        <v>187</v>
      </c>
      <c r="J42" s="178" t="s">
        <v>187</v>
      </c>
      <c r="K42" s="627"/>
      <c r="L42" s="634"/>
    </row>
    <row r="43" spans="1:12" s="179" customFormat="1" ht="15" customHeight="1">
      <c r="A43" s="639"/>
      <c r="B43" s="642"/>
      <c r="C43" s="644"/>
      <c r="D43" s="198" t="s">
        <v>297</v>
      </c>
      <c r="E43" s="409" t="s">
        <v>2343</v>
      </c>
      <c r="F43" s="200" t="s">
        <v>2344</v>
      </c>
      <c r="G43" s="225" t="s">
        <v>2345</v>
      </c>
      <c r="H43" s="491" t="s">
        <v>2346</v>
      </c>
      <c r="I43" s="178" t="s">
        <v>187</v>
      </c>
      <c r="J43" s="178" t="s">
        <v>187</v>
      </c>
      <c r="K43" s="627"/>
      <c r="L43" s="634"/>
    </row>
    <row r="44" spans="1:12" s="179" customFormat="1" ht="15" customHeight="1">
      <c r="A44" s="639"/>
      <c r="B44" s="642"/>
      <c r="C44" s="644"/>
      <c r="D44" s="198" t="s">
        <v>301</v>
      </c>
      <c r="E44" s="409" t="s">
        <v>2347</v>
      </c>
      <c r="F44" s="199" t="s">
        <v>2348</v>
      </c>
      <c r="G44" s="225" t="s">
        <v>2349</v>
      </c>
      <c r="H44" s="491" t="s">
        <v>2350</v>
      </c>
      <c r="I44" s="178" t="s">
        <v>187</v>
      </c>
      <c r="J44" s="178" t="s">
        <v>187</v>
      </c>
      <c r="K44" s="627"/>
      <c r="L44" s="634"/>
    </row>
    <row r="45" spans="1:12" s="179" customFormat="1" ht="15" customHeight="1">
      <c r="A45" s="639"/>
      <c r="B45" s="642"/>
      <c r="C45" s="645"/>
      <c r="D45" s="198" t="s">
        <v>2351</v>
      </c>
      <c r="E45" s="409" t="s">
        <v>2352</v>
      </c>
      <c r="F45" s="199" t="s">
        <v>2353</v>
      </c>
      <c r="G45" s="225" t="s">
        <v>2354</v>
      </c>
      <c r="H45" s="491" t="s">
        <v>2355</v>
      </c>
      <c r="I45" s="178" t="s">
        <v>187</v>
      </c>
      <c r="J45" s="178" t="s">
        <v>187</v>
      </c>
      <c r="K45" s="627"/>
      <c r="L45" s="634"/>
    </row>
    <row r="46" spans="1:12" s="179" customFormat="1" ht="15" customHeight="1">
      <c r="A46" s="639"/>
      <c r="B46" s="642"/>
      <c r="C46" s="646" t="s">
        <v>305</v>
      </c>
      <c r="D46" s="198" t="s">
        <v>306</v>
      </c>
      <c r="E46" s="410" t="s">
        <v>2356</v>
      </c>
      <c r="F46" s="199" t="s">
        <v>2357</v>
      </c>
      <c r="G46" s="225" t="s">
        <v>2358</v>
      </c>
      <c r="H46" s="491" t="s">
        <v>2359</v>
      </c>
      <c r="I46" s="178" t="s">
        <v>187</v>
      </c>
      <c r="J46" s="178" t="s">
        <v>187</v>
      </c>
      <c r="K46" s="627"/>
      <c r="L46" s="634"/>
    </row>
    <row r="47" spans="1:12" s="179" customFormat="1" ht="15" customHeight="1">
      <c r="A47" s="639"/>
      <c r="B47" s="642"/>
      <c r="C47" s="644"/>
      <c r="D47" s="198" t="s">
        <v>425</v>
      </c>
      <c r="E47" s="410" t="s">
        <v>2360</v>
      </c>
      <c r="F47" s="199" t="s">
        <v>2361</v>
      </c>
      <c r="G47" s="225" t="s">
        <v>2362</v>
      </c>
      <c r="H47" s="491" t="s">
        <v>2363</v>
      </c>
      <c r="I47" s="178" t="s">
        <v>187</v>
      </c>
      <c r="J47" s="178" t="s">
        <v>187</v>
      </c>
      <c r="K47" s="627"/>
      <c r="L47" s="634"/>
    </row>
    <row r="48" spans="1:12" s="179" customFormat="1" ht="15" customHeight="1">
      <c r="A48" s="639"/>
      <c r="B48" s="642"/>
      <c r="C48" s="644"/>
      <c r="D48" s="198" t="s">
        <v>2364</v>
      </c>
      <c r="E48" s="409" t="s">
        <v>2365</v>
      </c>
      <c r="F48" s="199" t="s">
        <v>2366</v>
      </c>
      <c r="G48" s="225" t="s">
        <v>2367</v>
      </c>
      <c r="H48" s="491" t="s">
        <v>2368</v>
      </c>
      <c r="I48" s="178" t="s">
        <v>187</v>
      </c>
      <c r="J48" s="178" t="s">
        <v>187</v>
      </c>
      <c r="K48" s="627"/>
      <c r="L48" s="634"/>
    </row>
    <row r="49" spans="1:12" s="179" customFormat="1" ht="15" customHeight="1">
      <c r="A49" s="639"/>
      <c r="B49" s="642"/>
      <c r="C49" s="645"/>
      <c r="D49" s="198" t="s">
        <v>429</v>
      </c>
      <c r="E49" s="410" t="s">
        <v>2369</v>
      </c>
      <c r="F49" s="199" t="s">
        <v>2370</v>
      </c>
      <c r="G49" s="60" t="s">
        <v>2371</v>
      </c>
      <c r="H49" s="492" t="s">
        <v>2372</v>
      </c>
      <c r="I49" s="178"/>
      <c r="J49" s="178"/>
      <c r="K49" s="627"/>
      <c r="L49" s="634"/>
    </row>
    <row r="50" spans="1:12" s="179" customFormat="1" ht="15" customHeight="1">
      <c r="A50" s="639"/>
      <c r="B50" s="642"/>
      <c r="C50" s="646" t="s">
        <v>365</v>
      </c>
      <c r="D50" s="198" t="s">
        <v>433</v>
      </c>
      <c r="E50" s="410" t="s">
        <v>2373</v>
      </c>
      <c r="F50" s="199" t="s">
        <v>2374</v>
      </c>
      <c r="G50" s="225" t="s">
        <v>2375</v>
      </c>
      <c r="H50" s="491" t="s">
        <v>2376</v>
      </c>
      <c r="I50" s="178" t="s">
        <v>187</v>
      </c>
      <c r="J50" s="178" t="s">
        <v>187</v>
      </c>
      <c r="K50" s="627"/>
      <c r="L50" s="634"/>
    </row>
    <row r="51" spans="1:12" s="179" customFormat="1" ht="15" customHeight="1">
      <c r="A51" s="639"/>
      <c r="B51" s="642"/>
      <c r="C51" s="644"/>
      <c r="D51" s="198" t="s">
        <v>2377</v>
      </c>
      <c r="E51" s="409" t="s">
        <v>2378</v>
      </c>
      <c r="F51" s="199" t="s">
        <v>2379</v>
      </c>
      <c r="G51" s="225" t="s">
        <v>2380</v>
      </c>
      <c r="H51" s="491" t="s">
        <v>2381</v>
      </c>
      <c r="I51" s="178" t="s">
        <v>187</v>
      </c>
      <c r="J51" s="178" t="s">
        <v>187</v>
      </c>
      <c r="K51" s="627"/>
      <c r="L51" s="634"/>
    </row>
    <row r="52" spans="1:12" s="179" customFormat="1" ht="15" customHeight="1">
      <c r="A52" s="639"/>
      <c r="B52" s="642"/>
      <c r="C52" s="644"/>
      <c r="D52" s="198" t="s">
        <v>437</v>
      </c>
      <c r="E52" s="410" t="s">
        <v>2382</v>
      </c>
      <c r="F52" s="199" t="s">
        <v>2383</v>
      </c>
      <c r="G52" s="225" t="s">
        <v>2384</v>
      </c>
      <c r="H52" s="491" t="s">
        <v>2385</v>
      </c>
      <c r="I52" s="178" t="s">
        <v>187</v>
      </c>
      <c r="J52" s="178" t="s">
        <v>187</v>
      </c>
      <c r="K52" s="627"/>
      <c r="L52" s="634"/>
    </row>
    <row r="53" spans="1:12" s="179" customFormat="1" ht="15" customHeight="1">
      <c r="A53" s="640"/>
      <c r="B53" s="642"/>
      <c r="C53" s="652"/>
      <c r="D53" s="202" t="s">
        <v>639</v>
      </c>
      <c r="E53" s="411" t="s">
        <v>2386</v>
      </c>
      <c r="F53" s="203" t="s">
        <v>2387</v>
      </c>
      <c r="G53" s="226" t="s">
        <v>2388</v>
      </c>
      <c r="H53" s="493" t="s">
        <v>2389</v>
      </c>
      <c r="I53" s="178" t="s">
        <v>187</v>
      </c>
      <c r="J53" s="178" t="s">
        <v>187</v>
      </c>
      <c r="K53" s="627"/>
      <c r="L53" s="634"/>
    </row>
    <row r="54" spans="1:12" s="179" customFormat="1" ht="15" customHeight="1">
      <c r="A54" s="193"/>
      <c r="B54" s="193"/>
      <c r="C54" s="180"/>
      <c r="D54" s="180"/>
      <c r="E54" s="412"/>
      <c r="F54" s="180"/>
      <c r="G54" s="228"/>
      <c r="H54" s="228"/>
      <c r="I54" s="180"/>
      <c r="J54" s="180"/>
      <c r="K54" s="181"/>
      <c r="L54" s="180"/>
    </row>
    <row r="55" spans="1:12" s="179" customFormat="1" ht="15" customHeight="1">
      <c r="A55" s="636" t="s">
        <v>131</v>
      </c>
      <c r="B55" s="612" t="str">
        <f>VLOOKUP(A55,Geral!$A$1:$D$50,2,FALSE)</f>
        <v>Letramento em LIBRAS para professores</v>
      </c>
      <c r="C55" s="614" t="s">
        <v>2390</v>
      </c>
      <c r="D55" s="182" t="s">
        <v>184</v>
      </c>
      <c r="E55" s="413" t="s">
        <v>185</v>
      </c>
      <c r="F55" s="184" t="s">
        <v>2391</v>
      </c>
      <c r="G55" s="229" t="s">
        <v>2392</v>
      </c>
      <c r="H55" s="501" t="s">
        <v>2393</v>
      </c>
      <c r="I55" s="178" t="s">
        <v>187</v>
      </c>
      <c r="J55" s="183" t="s">
        <v>187</v>
      </c>
      <c r="K55" s="630" t="str">
        <f>VLOOKUP(A55,Geral!$A$1:$D$50,3,FALSE)</f>
        <v>Karina Soledad Maldonado Molina</v>
      </c>
      <c r="L55" s="633" t="str">
        <f>VLOOKUP(A55,Geral!A:G,7,0)</f>
        <v>2024.3 AC</v>
      </c>
    </row>
    <row r="56" spans="1:12" s="179" customFormat="1" ht="15" customHeight="1">
      <c r="A56" s="637"/>
      <c r="B56" s="613"/>
      <c r="C56" s="615"/>
      <c r="D56" s="182" t="s">
        <v>190</v>
      </c>
      <c r="E56" s="413" t="s">
        <v>2394</v>
      </c>
      <c r="F56" s="184" t="s">
        <v>2395</v>
      </c>
      <c r="G56" s="229" t="s">
        <v>2396</v>
      </c>
      <c r="H56" s="501" t="s">
        <v>2397</v>
      </c>
      <c r="I56" s="178" t="s">
        <v>187</v>
      </c>
      <c r="J56" s="183" t="s">
        <v>187</v>
      </c>
      <c r="K56" s="627"/>
      <c r="L56" s="634"/>
    </row>
    <row r="57" spans="1:12" s="179" customFormat="1" ht="15" customHeight="1">
      <c r="A57" s="637"/>
      <c r="B57" s="613"/>
      <c r="C57" s="616"/>
      <c r="D57" s="182" t="s">
        <v>195</v>
      </c>
      <c r="E57" s="413" t="s">
        <v>2398</v>
      </c>
      <c r="F57" s="184" t="s">
        <v>2399</v>
      </c>
      <c r="G57" s="229" t="s">
        <v>2400</v>
      </c>
      <c r="H57" s="501" t="s">
        <v>2401</v>
      </c>
      <c r="I57" s="178" t="s">
        <v>187</v>
      </c>
      <c r="J57" s="183" t="s">
        <v>187</v>
      </c>
      <c r="K57" s="627"/>
      <c r="L57" s="634"/>
    </row>
    <row r="58" spans="1:12" s="179" customFormat="1" ht="15" customHeight="1">
      <c r="A58" s="637"/>
      <c r="B58" s="613"/>
      <c r="C58" s="617" t="s">
        <v>256</v>
      </c>
      <c r="D58" s="185" t="s">
        <v>2283</v>
      </c>
      <c r="E58" s="413" t="s">
        <v>256</v>
      </c>
      <c r="F58" s="184" t="s">
        <v>2402</v>
      </c>
      <c r="G58" s="229" t="s">
        <v>2403</v>
      </c>
      <c r="H58" s="501" t="s">
        <v>2404</v>
      </c>
      <c r="I58" s="178" t="s">
        <v>187</v>
      </c>
      <c r="J58" s="183" t="s">
        <v>187</v>
      </c>
      <c r="K58" s="627"/>
      <c r="L58" s="634"/>
    </row>
    <row r="59" spans="1:12" s="179" customFormat="1" ht="15" customHeight="1">
      <c r="A59" s="637"/>
      <c r="B59" s="613"/>
      <c r="C59" s="618"/>
      <c r="D59" s="185" t="s">
        <v>199</v>
      </c>
      <c r="E59" s="413" t="s">
        <v>2405</v>
      </c>
      <c r="F59" s="184" t="s">
        <v>2406</v>
      </c>
      <c r="G59" s="229" t="s">
        <v>2407</v>
      </c>
      <c r="H59" s="501" t="s">
        <v>2408</v>
      </c>
      <c r="I59" s="178" t="s">
        <v>187</v>
      </c>
      <c r="J59" s="183" t="s">
        <v>187</v>
      </c>
      <c r="K59" s="627"/>
      <c r="L59" s="634"/>
    </row>
    <row r="60" spans="1:12" s="179" customFormat="1" ht="15" customHeight="1">
      <c r="A60" s="637"/>
      <c r="B60" s="613"/>
      <c r="C60" s="618"/>
      <c r="D60" s="185" t="s">
        <v>204</v>
      </c>
      <c r="E60" s="413" t="s">
        <v>2409</v>
      </c>
      <c r="F60" s="184" t="s">
        <v>2410</v>
      </c>
      <c r="G60" s="229" t="s">
        <v>2411</v>
      </c>
      <c r="H60" s="501" t="s">
        <v>2412</v>
      </c>
      <c r="I60" s="178" t="s">
        <v>187</v>
      </c>
      <c r="J60" s="183" t="s">
        <v>187</v>
      </c>
      <c r="K60" s="627"/>
      <c r="L60" s="634"/>
    </row>
    <row r="61" spans="1:12" s="179" customFormat="1" ht="15" customHeight="1">
      <c r="A61" s="637"/>
      <c r="B61" s="613"/>
      <c r="C61" s="618"/>
      <c r="D61" s="185" t="s">
        <v>208</v>
      </c>
      <c r="E61" s="413" t="s">
        <v>2413</v>
      </c>
      <c r="F61" s="184" t="s">
        <v>2414</v>
      </c>
      <c r="G61" s="229" t="s">
        <v>2415</v>
      </c>
      <c r="H61" s="501" t="s">
        <v>2416</v>
      </c>
      <c r="I61" s="178" t="s">
        <v>187</v>
      </c>
      <c r="J61" s="183" t="s">
        <v>187</v>
      </c>
      <c r="K61" s="627"/>
      <c r="L61" s="634"/>
    </row>
    <row r="62" spans="1:12" s="179" customFormat="1" ht="15" customHeight="1">
      <c r="A62" s="637"/>
      <c r="B62" s="613"/>
      <c r="C62" s="615" t="s">
        <v>266</v>
      </c>
      <c r="D62" s="182" t="s">
        <v>2300</v>
      </c>
      <c r="E62" s="413" t="s">
        <v>266</v>
      </c>
      <c r="F62" s="184" t="s">
        <v>2417</v>
      </c>
      <c r="G62" s="229" t="s">
        <v>2418</v>
      </c>
      <c r="H62" s="501" t="s">
        <v>2419</v>
      </c>
      <c r="I62" s="178" t="s">
        <v>187</v>
      </c>
      <c r="J62" s="183" t="s">
        <v>187</v>
      </c>
      <c r="K62" s="627"/>
      <c r="L62" s="634"/>
    </row>
    <row r="63" spans="1:12" s="179" customFormat="1" ht="15" customHeight="1">
      <c r="A63" s="637"/>
      <c r="B63" s="613"/>
      <c r="C63" s="615"/>
      <c r="D63" s="182" t="s">
        <v>213</v>
      </c>
      <c r="E63" s="413" t="s">
        <v>2420</v>
      </c>
      <c r="F63" s="184" t="s">
        <v>2421</v>
      </c>
      <c r="G63" s="229" t="s">
        <v>2422</v>
      </c>
      <c r="H63" s="501" t="s">
        <v>2423</v>
      </c>
      <c r="I63" s="178" t="s">
        <v>187</v>
      </c>
      <c r="J63" s="183" t="s">
        <v>187</v>
      </c>
      <c r="K63" s="627"/>
      <c r="L63" s="634"/>
    </row>
    <row r="64" spans="1:12" s="179" customFormat="1" ht="15" customHeight="1">
      <c r="A64" s="637"/>
      <c r="B64" s="613"/>
      <c r="C64" s="615"/>
      <c r="D64" s="182" t="s">
        <v>270</v>
      </c>
      <c r="E64" s="413" t="s">
        <v>2424</v>
      </c>
      <c r="F64" s="184" t="s">
        <v>2425</v>
      </c>
      <c r="G64" s="229" t="s">
        <v>2426</v>
      </c>
      <c r="H64" s="501" t="s">
        <v>2427</v>
      </c>
      <c r="I64" s="178" t="s">
        <v>187</v>
      </c>
      <c r="J64" s="183" t="s">
        <v>187</v>
      </c>
      <c r="K64" s="627"/>
      <c r="L64" s="634"/>
    </row>
    <row r="65" spans="1:12" s="179" customFormat="1" ht="15" customHeight="1">
      <c r="A65" s="637"/>
      <c r="B65" s="613"/>
      <c r="C65" s="615"/>
      <c r="D65" s="182" t="s">
        <v>274</v>
      </c>
      <c r="E65" s="413" t="s">
        <v>2428</v>
      </c>
      <c r="F65" s="184" t="s">
        <v>2429</v>
      </c>
      <c r="G65" s="229" t="s">
        <v>2430</v>
      </c>
      <c r="H65" s="501" t="s">
        <v>2431</v>
      </c>
      <c r="I65" s="178" t="s">
        <v>187</v>
      </c>
      <c r="J65" s="183" t="s">
        <v>187</v>
      </c>
      <c r="K65" s="627"/>
      <c r="L65" s="634"/>
    </row>
    <row r="66" spans="1:12" s="179" customFormat="1" ht="15" customHeight="1">
      <c r="A66" s="637"/>
      <c r="B66" s="613"/>
      <c r="C66" s="618" t="s">
        <v>278</v>
      </c>
      <c r="D66" s="185" t="s">
        <v>2313</v>
      </c>
      <c r="E66" s="413" t="s">
        <v>278</v>
      </c>
      <c r="F66" s="184" t="s">
        <v>2432</v>
      </c>
      <c r="G66" s="229" t="s">
        <v>2433</v>
      </c>
      <c r="H66" s="501" t="s">
        <v>2434</v>
      </c>
      <c r="I66" s="178" t="s">
        <v>187</v>
      </c>
      <c r="J66" s="178" t="s">
        <v>187</v>
      </c>
      <c r="K66" s="627"/>
      <c r="L66" s="634"/>
    </row>
    <row r="67" spans="1:12" s="179" customFormat="1" ht="15" customHeight="1">
      <c r="A67" s="637"/>
      <c r="B67" s="613"/>
      <c r="C67" s="618"/>
      <c r="D67" s="185" t="s">
        <v>279</v>
      </c>
      <c r="E67" s="413" t="s">
        <v>2435</v>
      </c>
      <c r="F67" s="184" t="s">
        <v>2436</v>
      </c>
      <c r="G67" s="229" t="s">
        <v>2437</v>
      </c>
      <c r="H67" s="501" t="s">
        <v>2438</v>
      </c>
      <c r="I67" s="178" t="s">
        <v>187</v>
      </c>
      <c r="J67" s="178" t="s">
        <v>187</v>
      </c>
      <c r="K67" s="627"/>
      <c r="L67" s="634"/>
    </row>
    <row r="68" spans="1:12" s="179" customFormat="1" ht="15" customHeight="1">
      <c r="A68" s="637"/>
      <c r="B68" s="613"/>
      <c r="C68" s="618"/>
      <c r="D68" s="185" t="s">
        <v>283</v>
      </c>
      <c r="E68" s="413" t="s">
        <v>2439</v>
      </c>
      <c r="F68" s="184" t="s">
        <v>2440</v>
      </c>
      <c r="G68" s="229" t="s">
        <v>2441</v>
      </c>
      <c r="H68" s="501" t="s">
        <v>2442</v>
      </c>
      <c r="I68" s="178" t="s">
        <v>187</v>
      </c>
      <c r="J68" s="178" t="s">
        <v>187</v>
      </c>
      <c r="K68" s="627"/>
      <c r="L68" s="634"/>
    </row>
    <row r="69" spans="1:12" s="179" customFormat="1" ht="15" customHeight="1">
      <c r="A69" s="637"/>
      <c r="B69" s="613"/>
      <c r="C69" s="618"/>
      <c r="D69" s="186" t="s">
        <v>287</v>
      </c>
      <c r="E69" s="413" t="s">
        <v>2443</v>
      </c>
      <c r="F69" s="184" t="s">
        <v>2444</v>
      </c>
      <c r="G69" s="229" t="s">
        <v>2445</v>
      </c>
      <c r="H69" s="501" t="s">
        <v>2446</v>
      </c>
      <c r="I69" s="178" t="s">
        <v>187</v>
      </c>
      <c r="J69" s="178" t="s">
        <v>187</v>
      </c>
      <c r="K69" s="627"/>
      <c r="L69" s="634"/>
    </row>
    <row r="70" spans="1:12" s="179" customFormat="1" ht="15" customHeight="1">
      <c r="A70" s="637"/>
      <c r="B70" s="613"/>
      <c r="C70" s="615" t="s">
        <v>291</v>
      </c>
      <c r="D70" s="187" t="s">
        <v>2330</v>
      </c>
      <c r="E70" s="413" t="s">
        <v>291</v>
      </c>
      <c r="F70" s="184" t="s">
        <v>2447</v>
      </c>
      <c r="G70" s="229" t="s">
        <v>2448</v>
      </c>
      <c r="H70" s="501" t="s">
        <v>2449</v>
      </c>
      <c r="I70" s="178" t="s">
        <v>187</v>
      </c>
      <c r="J70" s="178" t="s">
        <v>187</v>
      </c>
      <c r="K70" s="627"/>
      <c r="L70" s="634"/>
    </row>
    <row r="71" spans="1:12" s="179" customFormat="1" ht="15" customHeight="1">
      <c r="A71" s="637"/>
      <c r="B71" s="613"/>
      <c r="C71" s="615"/>
      <c r="D71" s="182" t="s">
        <v>292</v>
      </c>
      <c r="E71" s="413" t="s">
        <v>2450</v>
      </c>
      <c r="F71" s="184" t="s">
        <v>2451</v>
      </c>
      <c r="G71" s="229" t="s">
        <v>2452</v>
      </c>
      <c r="H71" s="501" t="s">
        <v>2453</v>
      </c>
      <c r="I71" s="178" t="s">
        <v>187</v>
      </c>
      <c r="J71" s="178" t="s">
        <v>187</v>
      </c>
      <c r="K71" s="627"/>
      <c r="L71" s="634"/>
    </row>
    <row r="72" spans="1:12" s="179" customFormat="1" ht="15" customHeight="1">
      <c r="A72" s="637"/>
      <c r="B72" s="613"/>
      <c r="C72" s="615"/>
      <c r="D72" s="182" t="s">
        <v>297</v>
      </c>
      <c r="E72" s="413" t="s">
        <v>2454</v>
      </c>
      <c r="F72" s="184" t="s">
        <v>2455</v>
      </c>
      <c r="G72" s="229" t="s">
        <v>2456</v>
      </c>
      <c r="H72" s="501" t="s">
        <v>2457</v>
      </c>
      <c r="I72" s="178" t="s">
        <v>187</v>
      </c>
      <c r="J72" s="178" t="s">
        <v>187</v>
      </c>
      <c r="K72" s="627"/>
      <c r="L72" s="634"/>
    </row>
    <row r="73" spans="1:12" s="179" customFormat="1" ht="15" customHeight="1">
      <c r="A73" s="637"/>
      <c r="B73" s="613"/>
      <c r="C73" s="615"/>
      <c r="D73" s="182" t="s">
        <v>301</v>
      </c>
      <c r="E73" s="413" t="s">
        <v>2458</v>
      </c>
      <c r="F73" s="184" t="s">
        <v>2459</v>
      </c>
      <c r="G73" s="229" t="s">
        <v>2460</v>
      </c>
      <c r="H73" s="501" t="s">
        <v>2461</v>
      </c>
      <c r="I73" s="178" t="s">
        <v>187</v>
      </c>
      <c r="J73" s="178" t="s">
        <v>187</v>
      </c>
      <c r="K73" s="627"/>
      <c r="L73" s="634"/>
    </row>
    <row r="74" spans="1:12" s="179" customFormat="1" ht="15" customHeight="1">
      <c r="A74" s="637"/>
      <c r="B74" s="613"/>
      <c r="C74" s="618" t="s">
        <v>305</v>
      </c>
      <c r="D74" s="185" t="s">
        <v>2351</v>
      </c>
      <c r="E74" s="413" t="s">
        <v>305</v>
      </c>
      <c r="F74" s="184" t="s">
        <v>2462</v>
      </c>
      <c r="G74" s="229" t="s">
        <v>2463</v>
      </c>
      <c r="H74" s="501" t="s">
        <v>2464</v>
      </c>
      <c r="I74" s="178" t="s">
        <v>187</v>
      </c>
      <c r="J74" s="178" t="s">
        <v>187</v>
      </c>
      <c r="K74" s="627"/>
      <c r="L74" s="634"/>
    </row>
    <row r="75" spans="1:12" s="179" customFormat="1" ht="15" customHeight="1">
      <c r="A75" s="637"/>
      <c r="B75" s="613"/>
      <c r="C75" s="618"/>
      <c r="D75" s="185" t="s">
        <v>306</v>
      </c>
      <c r="E75" s="413" t="s">
        <v>2465</v>
      </c>
      <c r="F75" s="184" t="s">
        <v>2466</v>
      </c>
      <c r="G75" s="229" t="s">
        <v>2467</v>
      </c>
      <c r="H75" s="501" t="s">
        <v>2468</v>
      </c>
      <c r="I75" s="178" t="s">
        <v>187</v>
      </c>
      <c r="J75" s="178" t="s">
        <v>187</v>
      </c>
      <c r="K75" s="627"/>
      <c r="L75" s="634"/>
    </row>
    <row r="76" spans="1:12" s="179" customFormat="1" ht="15" customHeight="1">
      <c r="A76" s="637"/>
      <c r="B76" s="613"/>
      <c r="C76" s="618"/>
      <c r="D76" s="185" t="s">
        <v>425</v>
      </c>
      <c r="E76" s="413" t="s">
        <v>2469</v>
      </c>
      <c r="F76" s="184" t="s">
        <v>2470</v>
      </c>
      <c r="G76" s="229" t="s">
        <v>2471</v>
      </c>
      <c r="H76" s="501" t="s">
        <v>2472</v>
      </c>
      <c r="I76" s="178" t="s">
        <v>187</v>
      </c>
      <c r="J76" s="178" t="s">
        <v>187</v>
      </c>
      <c r="K76" s="627"/>
      <c r="L76" s="634"/>
    </row>
    <row r="77" spans="1:12" s="179" customFormat="1" ht="15" customHeight="1">
      <c r="A77" s="637"/>
      <c r="B77" s="613"/>
      <c r="C77" s="618"/>
      <c r="D77" s="185" t="s">
        <v>429</v>
      </c>
      <c r="E77" s="413" t="s">
        <v>2473</v>
      </c>
      <c r="F77" s="184" t="s">
        <v>2474</v>
      </c>
      <c r="G77" s="229" t="s">
        <v>2475</v>
      </c>
      <c r="H77" s="501" t="s">
        <v>2476</v>
      </c>
      <c r="I77" s="178" t="s">
        <v>187</v>
      </c>
      <c r="J77" s="178" t="s">
        <v>187</v>
      </c>
      <c r="K77" s="627"/>
      <c r="L77" s="634"/>
    </row>
    <row r="78" spans="1:12" s="179" customFormat="1" ht="15" customHeight="1">
      <c r="A78" s="637"/>
      <c r="B78" s="613"/>
      <c r="C78" s="615" t="s">
        <v>365</v>
      </c>
      <c r="D78" s="182" t="s">
        <v>2364</v>
      </c>
      <c r="E78" s="413" t="s">
        <v>365</v>
      </c>
      <c r="F78" s="184" t="s">
        <v>2477</v>
      </c>
      <c r="G78" s="229" t="s">
        <v>2478</v>
      </c>
      <c r="H78" s="501" t="s">
        <v>2479</v>
      </c>
      <c r="I78" s="178" t="s">
        <v>187</v>
      </c>
      <c r="J78" s="178" t="s">
        <v>187</v>
      </c>
      <c r="K78" s="627"/>
      <c r="L78" s="634"/>
    </row>
    <row r="79" spans="1:12" s="179" customFormat="1" ht="15" customHeight="1">
      <c r="A79" s="637"/>
      <c r="B79" s="613"/>
      <c r="C79" s="615"/>
      <c r="D79" s="182" t="s">
        <v>433</v>
      </c>
      <c r="E79" s="413" t="s">
        <v>2480</v>
      </c>
      <c r="F79" s="184" t="s">
        <v>2481</v>
      </c>
      <c r="G79" s="229" t="s">
        <v>2482</v>
      </c>
      <c r="H79" s="501" t="s">
        <v>2483</v>
      </c>
      <c r="I79" s="178" t="s">
        <v>187</v>
      </c>
      <c r="J79" s="178" t="s">
        <v>187</v>
      </c>
      <c r="K79" s="627"/>
      <c r="L79" s="634"/>
    </row>
    <row r="80" spans="1:12" s="179" customFormat="1" ht="15" customHeight="1">
      <c r="A80" s="637"/>
      <c r="B80" s="613"/>
      <c r="C80" s="615"/>
      <c r="D80" s="182" t="s">
        <v>437</v>
      </c>
      <c r="E80" s="413" t="s">
        <v>2484</v>
      </c>
      <c r="F80" s="184" t="s">
        <v>2485</v>
      </c>
      <c r="G80" s="229" t="s">
        <v>2486</v>
      </c>
      <c r="H80" s="501" t="s">
        <v>2487</v>
      </c>
      <c r="I80" s="178" t="s">
        <v>187</v>
      </c>
      <c r="J80" s="178" t="s">
        <v>187</v>
      </c>
      <c r="K80" s="627"/>
      <c r="L80" s="634"/>
    </row>
    <row r="81" spans="1:12" s="179" customFormat="1" ht="15" customHeight="1">
      <c r="A81" s="637"/>
      <c r="B81" s="613"/>
      <c r="C81" s="615"/>
      <c r="D81" s="182" t="s">
        <v>639</v>
      </c>
      <c r="E81" s="413" t="s">
        <v>2488</v>
      </c>
      <c r="F81" s="184" t="s">
        <v>2489</v>
      </c>
      <c r="G81" s="229" t="s">
        <v>2490</v>
      </c>
      <c r="H81" s="501" t="s">
        <v>2491</v>
      </c>
      <c r="I81" s="178" t="s">
        <v>187</v>
      </c>
      <c r="J81" s="178" t="s">
        <v>187</v>
      </c>
      <c r="K81" s="627"/>
      <c r="L81" s="634"/>
    </row>
    <row r="82" spans="1:12" s="179" customFormat="1" ht="15" customHeight="1">
      <c r="A82" s="193"/>
      <c r="B82" s="193"/>
      <c r="C82" s="180"/>
      <c r="D82" s="189"/>
      <c r="E82" s="407"/>
      <c r="F82" s="189"/>
      <c r="G82" s="228"/>
      <c r="H82" s="227"/>
      <c r="I82" s="180"/>
      <c r="J82" s="180"/>
      <c r="K82" s="181"/>
      <c r="L82" s="180"/>
    </row>
    <row r="83" spans="1:12" s="179" customFormat="1" ht="15" customHeight="1">
      <c r="A83" s="637" t="s">
        <v>135</v>
      </c>
      <c r="B83" s="613" t="s">
        <v>136</v>
      </c>
      <c r="C83" s="648" t="s">
        <v>2390</v>
      </c>
      <c r="D83" s="182" t="s">
        <v>217</v>
      </c>
      <c r="E83" s="414" t="s">
        <v>185</v>
      </c>
      <c r="F83" s="206" t="s">
        <v>2492</v>
      </c>
      <c r="G83" s="242" t="s">
        <v>2493</v>
      </c>
      <c r="H83" s="494" t="s">
        <v>2494</v>
      </c>
      <c r="I83" s="178" t="s">
        <v>187</v>
      </c>
      <c r="J83" s="183" t="s">
        <v>187</v>
      </c>
      <c r="K83" s="627" t="str">
        <f>VLOOKUP(A83,Geral!$A$1:$D$50,3,FALSE)</f>
        <v>Claudia Panizzolo</v>
      </c>
      <c r="L83" s="633" t="str">
        <f>VLOOKUP(A83,Geral!A:G,7,0)</f>
        <v>2024.3 AC</v>
      </c>
    </row>
    <row r="84" spans="1:12" s="179" customFormat="1" ht="15" customHeight="1">
      <c r="A84" s="637"/>
      <c r="B84" s="613"/>
      <c r="C84" s="649"/>
      <c r="D84" s="182" t="s">
        <v>184</v>
      </c>
      <c r="E84" s="414" t="s">
        <v>2495</v>
      </c>
      <c r="F84" s="207" t="s">
        <v>2496</v>
      </c>
      <c r="G84" s="243" t="s">
        <v>2497</v>
      </c>
      <c r="H84" s="494" t="s">
        <v>2498</v>
      </c>
      <c r="I84" s="178" t="s">
        <v>187</v>
      </c>
      <c r="J84" s="183" t="s">
        <v>187</v>
      </c>
      <c r="K84" s="627"/>
      <c r="L84" s="634"/>
    </row>
    <row r="85" spans="1:12" s="179" customFormat="1" ht="15" customHeight="1">
      <c r="A85" s="637"/>
      <c r="B85" s="613"/>
      <c r="C85" s="210" t="s">
        <v>256</v>
      </c>
      <c r="D85" s="182" t="s">
        <v>190</v>
      </c>
      <c r="E85" s="414" t="s">
        <v>2499</v>
      </c>
      <c r="F85" s="207" t="s">
        <v>2500</v>
      </c>
      <c r="G85" s="243" t="s">
        <v>2501</v>
      </c>
      <c r="H85" s="494" t="s">
        <v>2502</v>
      </c>
      <c r="I85" s="178" t="s">
        <v>187</v>
      </c>
      <c r="J85" s="183" t="s">
        <v>187</v>
      </c>
      <c r="K85" s="627"/>
      <c r="L85" s="634"/>
    </row>
    <row r="86" spans="1:12" s="179" customFormat="1" ht="15" customHeight="1">
      <c r="A86" s="637"/>
      <c r="B86" s="613"/>
      <c r="C86" s="209" t="s">
        <v>266</v>
      </c>
      <c r="D86" s="182" t="s">
        <v>195</v>
      </c>
      <c r="E86" s="414" t="s">
        <v>2503</v>
      </c>
      <c r="F86" s="207" t="s">
        <v>2504</v>
      </c>
      <c r="G86" s="243" t="s">
        <v>2505</v>
      </c>
      <c r="H86" s="494" t="s">
        <v>2506</v>
      </c>
      <c r="I86" s="178" t="s">
        <v>187</v>
      </c>
      <c r="J86" s="183" t="s">
        <v>187</v>
      </c>
      <c r="K86" s="627"/>
      <c r="L86" s="634"/>
    </row>
    <row r="87" spans="1:12" s="179" customFormat="1" ht="15" customHeight="1">
      <c r="A87" s="637"/>
      <c r="B87" s="613"/>
      <c r="C87" s="650" t="s">
        <v>278</v>
      </c>
      <c r="D87" s="182" t="s">
        <v>199</v>
      </c>
      <c r="E87" s="414" t="s">
        <v>2507</v>
      </c>
      <c r="F87" s="207" t="s">
        <v>2508</v>
      </c>
      <c r="G87" s="243" t="s">
        <v>2509</v>
      </c>
      <c r="H87" s="494" t="s">
        <v>2510</v>
      </c>
      <c r="I87" s="178" t="s">
        <v>187</v>
      </c>
      <c r="J87" s="183" t="s">
        <v>187</v>
      </c>
      <c r="K87" s="627"/>
      <c r="L87" s="634"/>
    </row>
    <row r="88" spans="1:12" s="179" customFormat="1" ht="15" customHeight="1">
      <c r="A88" s="637"/>
      <c r="B88" s="613"/>
      <c r="C88" s="650"/>
      <c r="D88" s="182" t="s">
        <v>204</v>
      </c>
      <c r="E88" s="414" t="s">
        <v>2511</v>
      </c>
      <c r="F88" s="207" t="s">
        <v>2512</v>
      </c>
      <c r="G88" s="243" t="s">
        <v>2513</v>
      </c>
      <c r="H88" s="494" t="s">
        <v>2514</v>
      </c>
      <c r="I88" s="178" t="s">
        <v>187</v>
      </c>
      <c r="J88" s="183" t="s">
        <v>187</v>
      </c>
      <c r="K88" s="627"/>
      <c r="L88" s="634"/>
    </row>
    <row r="89" spans="1:12" s="179" customFormat="1" ht="15" customHeight="1">
      <c r="A89" s="637"/>
      <c r="B89" s="613"/>
      <c r="C89" s="651" t="s">
        <v>291</v>
      </c>
      <c r="D89" s="182" t="s">
        <v>208</v>
      </c>
      <c r="E89" s="414" t="s">
        <v>2515</v>
      </c>
      <c r="F89" s="207" t="s">
        <v>2516</v>
      </c>
      <c r="G89" s="243" t="s">
        <v>2517</v>
      </c>
      <c r="H89" s="494" t="s">
        <v>2518</v>
      </c>
      <c r="I89" s="178" t="s">
        <v>187</v>
      </c>
      <c r="J89" s="183" t="s">
        <v>187</v>
      </c>
      <c r="K89" s="627"/>
      <c r="L89" s="634"/>
    </row>
    <row r="90" spans="1:12" s="179" customFormat="1" ht="15" customHeight="1">
      <c r="A90" s="637"/>
      <c r="B90" s="613"/>
      <c r="C90" s="651"/>
      <c r="D90" s="182" t="s">
        <v>213</v>
      </c>
      <c r="E90" s="414" t="s">
        <v>2519</v>
      </c>
      <c r="F90" s="208" t="s">
        <v>2520</v>
      </c>
      <c r="G90" s="244" t="s">
        <v>2521</v>
      </c>
      <c r="H90" s="495" t="s">
        <v>2522</v>
      </c>
      <c r="I90" s="178" t="s">
        <v>187</v>
      </c>
      <c r="J90" s="183" t="s">
        <v>187</v>
      </c>
      <c r="K90" s="627"/>
      <c r="L90" s="634"/>
    </row>
    <row r="91" spans="1:12" s="179" customFormat="1" ht="15" customHeight="1">
      <c r="A91" s="193"/>
      <c r="B91" s="193"/>
      <c r="C91" s="180"/>
      <c r="D91" s="180"/>
      <c r="E91" s="412"/>
      <c r="F91" s="180"/>
      <c r="G91" s="227"/>
      <c r="H91" s="227"/>
      <c r="I91" s="180"/>
      <c r="J91" s="180"/>
      <c r="K91" s="181"/>
      <c r="L91" s="180"/>
    </row>
    <row r="92" spans="1:12" s="179" customFormat="1" ht="15" customHeight="1">
      <c r="A92" s="637" t="s">
        <v>138</v>
      </c>
      <c r="B92" s="613" t="s">
        <v>2523</v>
      </c>
      <c r="C92" s="217" t="s">
        <v>2524</v>
      </c>
      <c r="D92" s="183"/>
      <c r="E92" s="415" t="s">
        <v>2525</v>
      </c>
      <c r="F92" s="207" t="s">
        <v>2526</v>
      </c>
      <c r="G92" s="207" t="s">
        <v>2527</v>
      </c>
      <c r="H92" s="496" t="s">
        <v>2528</v>
      </c>
      <c r="I92" s="178" t="s">
        <v>187</v>
      </c>
      <c r="J92" s="183" t="s">
        <v>187</v>
      </c>
      <c r="K92" s="626" t="str">
        <f>VLOOKUP(A92,Geral!$A$1:$D$50,3,FALSE)</f>
        <v>Taitiâny Kárita Bonzanini</v>
      </c>
      <c r="L92" s="633" t="str">
        <f>VLOOKUP(A92,Geral!A:G,7,0)</f>
        <v>2024.3 AC</v>
      </c>
    </row>
    <row r="93" spans="1:12" s="179" customFormat="1" ht="15" customHeight="1">
      <c r="A93" s="637"/>
      <c r="B93" s="613"/>
      <c r="C93" s="217" t="s">
        <v>223</v>
      </c>
      <c r="D93" s="183"/>
      <c r="E93" s="415" t="s">
        <v>2529</v>
      </c>
      <c r="F93" s="207" t="s">
        <v>2530</v>
      </c>
      <c r="G93" s="207" t="s">
        <v>2531</v>
      </c>
      <c r="H93" s="496" t="s">
        <v>2532</v>
      </c>
      <c r="I93" s="178" t="s">
        <v>187</v>
      </c>
      <c r="J93" s="183" t="s">
        <v>187</v>
      </c>
      <c r="K93" s="627"/>
      <c r="L93" s="634"/>
    </row>
    <row r="94" spans="1:12" s="179" customFormat="1" ht="15" customHeight="1">
      <c r="A94" s="637"/>
      <c r="B94" s="613"/>
      <c r="C94" s="217" t="s">
        <v>2533</v>
      </c>
      <c r="D94" s="183"/>
      <c r="E94" s="406" t="s">
        <v>2534</v>
      </c>
      <c r="F94" s="207" t="s">
        <v>2535</v>
      </c>
      <c r="G94" s="207" t="s">
        <v>2536</v>
      </c>
      <c r="H94" s="496" t="s">
        <v>2537</v>
      </c>
      <c r="I94" s="178" t="s">
        <v>187</v>
      </c>
      <c r="J94" s="183" t="s">
        <v>187</v>
      </c>
      <c r="K94" s="627"/>
      <c r="L94" s="634"/>
    </row>
    <row r="95" spans="1:12" s="179" customFormat="1" ht="15" customHeight="1">
      <c r="A95" s="637"/>
      <c r="B95" s="613"/>
      <c r="C95" s="217" t="s">
        <v>2538</v>
      </c>
      <c r="D95" s="183"/>
      <c r="E95" s="406" t="s">
        <v>2539</v>
      </c>
      <c r="F95" s="207" t="s">
        <v>2540</v>
      </c>
      <c r="G95" s="207" t="s">
        <v>2541</v>
      </c>
      <c r="H95" s="496" t="s">
        <v>2542</v>
      </c>
      <c r="I95" s="178" t="s">
        <v>187</v>
      </c>
      <c r="J95" s="183" t="s">
        <v>187</v>
      </c>
      <c r="K95" s="627"/>
      <c r="L95" s="634"/>
    </row>
    <row r="96" spans="1:12" s="179" customFormat="1" ht="15" customHeight="1">
      <c r="A96" s="637"/>
      <c r="B96" s="613"/>
      <c r="C96" s="217" t="s">
        <v>2543</v>
      </c>
      <c r="D96" s="183"/>
      <c r="E96" s="406" t="s">
        <v>2544</v>
      </c>
      <c r="F96" s="207" t="s">
        <v>2545</v>
      </c>
      <c r="G96" s="207" t="s">
        <v>2546</v>
      </c>
      <c r="H96" s="496" t="s">
        <v>2547</v>
      </c>
      <c r="I96" s="178" t="s">
        <v>187</v>
      </c>
      <c r="J96" s="183" t="s">
        <v>187</v>
      </c>
      <c r="K96" s="627"/>
      <c r="L96" s="634"/>
    </row>
    <row r="97" spans="1:12" s="179" customFormat="1" ht="15" customHeight="1">
      <c r="A97" s="637"/>
      <c r="B97" s="613"/>
      <c r="C97" s="217" t="s">
        <v>2548</v>
      </c>
      <c r="D97" s="183"/>
      <c r="E97" s="406" t="s">
        <v>2549</v>
      </c>
      <c r="F97" s="207" t="s">
        <v>2550</v>
      </c>
      <c r="G97" s="207" t="s">
        <v>2551</v>
      </c>
      <c r="H97" s="496" t="s">
        <v>2552</v>
      </c>
      <c r="I97" s="178" t="s">
        <v>187</v>
      </c>
      <c r="J97" s="183" t="s">
        <v>187</v>
      </c>
      <c r="K97" s="627"/>
      <c r="L97" s="634"/>
    </row>
    <row r="98" spans="1:12" s="179" customFormat="1" ht="15" customHeight="1">
      <c r="A98" s="637"/>
      <c r="B98" s="613"/>
      <c r="C98" s="217" t="s">
        <v>2553</v>
      </c>
      <c r="D98" s="183"/>
      <c r="E98" s="406" t="s">
        <v>2554</v>
      </c>
      <c r="F98" s="207" t="s">
        <v>2555</v>
      </c>
      <c r="G98" s="207" t="s">
        <v>2556</v>
      </c>
      <c r="H98" s="496" t="s">
        <v>2557</v>
      </c>
      <c r="I98" s="178" t="s">
        <v>187</v>
      </c>
      <c r="J98" s="183" t="s">
        <v>187</v>
      </c>
      <c r="K98" s="627"/>
      <c r="L98" s="634"/>
    </row>
    <row r="99" spans="1:12" s="179" customFormat="1" ht="15" customHeight="1">
      <c r="A99" s="237"/>
      <c r="B99" s="236"/>
      <c r="C99" s="263" t="s">
        <v>2558</v>
      </c>
      <c r="D99" s="264"/>
      <c r="E99" s="416" t="s">
        <v>2559</v>
      </c>
      <c r="F99" s="207" t="s">
        <v>2560</v>
      </c>
      <c r="G99" s="401" t="s">
        <v>2561</v>
      </c>
      <c r="H99" s="495" t="s">
        <v>2562</v>
      </c>
      <c r="I99" s="178"/>
      <c r="J99" s="183"/>
      <c r="K99" s="238" t="s">
        <v>2563</v>
      </c>
      <c r="L99" s="634"/>
    </row>
    <row r="100" spans="1:12" s="179" customFormat="1" ht="15" customHeight="1">
      <c r="A100" s="237"/>
      <c r="B100" s="236"/>
      <c r="C100" s="263" t="s">
        <v>2558</v>
      </c>
      <c r="D100" s="264"/>
      <c r="E100" s="416" t="s">
        <v>2564</v>
      </c>
      <c r="F100" s="207" t="s">
        <v>2565</v>
      </c>
      <c r="G100" s="207" t="s">
        <v>2566</v>
      </c>
      <c r="H100" s="183">
        <v>1</v>
      </c>
      <c r="I100" s="178"/>
      <c r="J100" s="183"/>
      <c r="K100" s="579" t="s">
        <v>2567</v>
      </c>
      <c r="L100" s="634"/>
    </row>
    <row r="101" spans="1:12" s="179" customFormat="1" ht="15" customHeight="1">
      <c r="A101" s="237"/>
      <c r="B101" s="236"/>
      <c r="C101" s="263" t="s">
        <v>2568</v>
      </c>
      <c r="D101" s="264"/>
      <c r="E101" s="417" t="s">
        <v>2569</v>
      </c>
      <c r="F101" s="207" t="s">
        <v>2570</v>
      </c>
      <c r="G101" s="207" t="s">
        <v>2571</v>
      </c>
      <c r="H101" s="496" t="s">
        <v>2572</v>
      </c>
      <c r="I101" s="178"/>
      <c r="J101" s="183"/>
      <c r="K101" s="579"/>
      <c r="L101" s="634"/>
    </row>
    <row r="102" spans="1:12" s="179" customFormat="1" ht="15" customHeight="1">
      <c r="A102" s="237"/>
      <c r="B102" s="236"/>
      <c r="C102" s="263" t="s">
        <v>2568</v>
      </c>
      <c r="D102" s="264"/>
      <c r="E102" s="416" t="s">
        <v>2573</v>
      </c>
      <c r="F102" s="207" t="s">
        <v>2574</v>
      </c>
      <c r="G102" s="207"/>
      <c r="H102" s="495" t="s">
        <v>2575</v>
      </c>
      <c r="I102" s="178"/>
      <c r="J102" s="183"/>
      <c r="K102" s="579"/>
      <c r="L102" s="634"/>
    </row>
    <row r="103" spans="1:12" s="179" customFormat="1" ht="15" customHeight="1">
      <c r="A103" s="237"/>
      <c r="B103" s="236"/>
      <c r="C103" s="263" t="s">
        <v>2568</v>
      </c>
      <c r="D103" s="264"/>
      <c r="E103" s="416" t="s">
        <v>2576</v>
      </c>
      <c r="F103" s="207" t="s">
        <v>2577</v>
      </c>
      <c r="G103" s="207" t="s">
        <v>2578</v>
      </c>
      <c r="H103" s="495" t="s">
        <v>2579</v>
      </c>
      <c r="I103" s="178"/>
      <c r="J103" s="183"/>
      <c r="K103" s="579"/>
      <c r="L103" s="634"/>
    </row>
    <row r="104" spans="1:12" s="179" customFormat="1" ht="15" customHeight="1">
      <c r="A104" s="237"/>
      <c r="B104" s="236"/>
      <c r="C104" s="265" t="s">
        <v>2580</v>
      </c>
      <c r="D104" s="264"/>
      <c r="E104" s="417" t="s">
        <v>2581</v>
      </c>
      <c r="F104" s="207" t="s">
        <v>2582</v>
      </c>
      <c r="G104" s="207" t="s">
        <v>2583</v>
      </c>
      <c r="H104" s="495" t="s">
        <v>2584</v>
      </c>
      <c r="I104" s="178" t="s">
        <v>187</v>
      </c>
      <c r="J104" s="183"/>
      <c r="K104" s="579"/>
      <c r="L104" s="634"/>
    </row>
    <row r="105" spans="1:12" s="179" customFormat="1" ht="15" customHeight="1">
      <c r="A105" s="237"/>
      <c r="B105" s="236"/>
      <c r="C105" s="265" t="s">
        <v>2585</v>
      </c>
      <c r="D105" s="264"/>
      <c r="E105" s="416" t="s">
        <v>2586</v>
      </c>
      <c r="F105" s="207" t="s">
        <v>2587</v>
      </c>
      <c r="G105" s="207"/>
      <c r="H105" s="183">
        <v>1</v>
      </c>
      <c r="I105" s="178"/>
      <c r="J105" s="183"/>
      <c r="K105" s="579"/>
      <c r="L105" s="634"/>
    </row>
    <row r="106" spans="1:12" s="179" customFormat="1" ht="15" customHeight="1">
      <c r="A106" s="237"/>
      <c r="B106" s="236"/>
      <c r="C106" s="265" t="s">
        <v>2585</v>
      </c>
      <c r="D106" s="264"/>
      <c r="E106" s="417" t="s">
        <v>2588</v>
      </c>
      <c r="F106" s="207" t="s">
        <v>2589</v>
      </c>
      <c r="G106" s="207" t="s">
        <v>2590</v>
      </c>
      <c r="H106" s="183">
        <v>1</v>
      </c>
      <c r="I106" s="178"/>
      <c r="J106" s="183"/>
      <c r="K106" s="579"/>
      <c r="L106" s="634"/>
    </row>
    <row r="107" spans="1:12" s="179" customFormat="1" ht="15" customHeight="1">
      <c r="A107" s="237"/>
      <c r="B107" s="236"/>
      <c r="C107" s="265" t="s">
        <v>2591</v>
      </c>
      <c r="D107" s="264"/>
      <c r="E107" s="416" t="s">
        <v>2573</v>
      </c>
      <c r="F107" s="207" t="s">
        <v>2592</v>
      </c>
      <c r="G107" s="207"/>
      <c r="H107" s="183">
        <v>1</v>
      </c>
      <c r="I107" s="178"/>
      <c r="J107" s="183"/>
      <c r="K107" s="579"/>
      <c r="L107" s="634"/>
    </row>
    <row r="108" spans="1:12" s="179" customFormat="1" ht="15" customHeight="1">
      <c r="A108" s="237"/>
      <c r="B108" s="236"/>
      <c r="C108" s="265" t="s">
        <v>2591</v>
      </c>
      <c r="D108" s="264"/>
      <c r="E108" s="417" t="s">
        <v>2593</v>
      </c>
      <c r="F108" s="207" t="s">
        <v>2594</v>
      </c>
      <c r="G108" s="207" t="s">
        <v>2595</v>
      </c>
      <c r="H108" s="495" t="s">
        <v>2596</v>
      </c>
      <c r="I108" s="178"/>
      <c r="J108" s="183"/>
      <c r="K108" s="579" t="s">
        <v>2597</v>
      </c>
      <c r="L108" s="634"/>
    </row>
    <row r="109" spans="1:12" s="179" customFormat="1" ht="15" customHeight="1">
      <c r="A109" s="237"/>
      <c r="B109" s="236"/>
      <c r="C109" s="265" t="s">
        <v>2598</v>
      </c>
      <c r="D109" s="264"/>
      <c r="E109" s="416" t="s">
        <v>2599</v>
      </c>
      <c r="F109" s="207" t="s">
        <v>2600</v>
      </c>
      <c r="G109" s="207"/>
      <c r="H109" s="183">
        <v>1</v>
      </c>
      <c r="I109" s="178"/>
      <c r="J109" s="183"/>
      <c r="K109" s="579"/>
      <c r="L109" s="634"/>
    </row>
    <row r="110" spans="1:12" s="179" customFormat="1" ht="15" customHeight="1">
      <c r="A110" s="237"/>
      <c r="B110" s="236"/>
      <c r="C110" s="265" t="s">
        <v>2598</v>
      </c>
      <c r="D110" s="264"/>
      <c r="E110" s="416" t="s">
        <v>2601</v>
      </c>
      <c r="F110" s="207" t="s">
        <v>2602</v>
      </c>
      <c r="G110" s="207"/>
      <c r="H110" s="495" t="s">
        <v>2603</v>
      </c>
      <c r="I110" s="178"/>
      <c r="J110" s="183"/>
      <c r="K110" s="635" t="s">
        <v>2604</v>
      </c>
      <c r="L110" s="634"/>
    </row>
    <row r="111" spans="1:12" s="179" customFormat="1" ht="15" customHeight="1">
      <c r="A111" s="237"/>
      <c r="B111" s="236"/>
      <c r="C111" s="265" t="s">
        <v>2598</v>
      </c>
      <c r="D111" s="264"/>
      <c r="E111" s="416" t="s">
        <v>2605</v>
      </c>
      <c r="F111" s="207" t="s">
        <v>2606</v>
      </c>
      <c r="G111" s="207"/>
      <c r="H111" s="183">
        <v>1</v>
      </c>
      <c r="I111" s="178"/>
      <c r="J111" s="183"/>
      <c r="K111" s="635"/>
      <c r="L111" s="634"/>
    </row>
    <row r="112" spans="1:12" s="179" customFormat="1" ht="15" customHeight="1">
      <c r="A112" s="193"/>
      <c r="B112" s="193"/>
      <c r="C112" s="180"/>
      <c r="D112" s="180"/>
      <c r="E112" s="412"/>
      <c r="F112" s="180"/>
      <c r="G112" s="227"/>
      <c r="H112" s="227"/>
      <c r="I112" s="180"/>
      <c r="J112" s="180"/>
      <c r="K112" s="181"/>
      <c r="L112" s="180"/>
    </row>
    <row r="113" spans="1:12" s="179" customFormat="1" ht="15" customHeight="1">
      <c r="A113" s="610" t="s">
        <v>141</v>
      </c>
      <c r="B113" s="612" t="str">
        <f>VLOOKUP(A113,Geral!$A$1:$D$50,2,FALSE)</f>
        <v>Literatura e Cultura Brasileira</v>
      </c>
      <c r="C113" s="614" t="s">
        <v>2390</v>
      </c>
      <c r="D113" s="182" t="s">
        <v>184</v>
      </c>
      <c r="E113" s="413" t="s">
        <v>2607</v>
      </c>
      <c r="F113" s="184" t="s">
        <v>2608</v>
      </c>
      <c r="G113" s="96" t="s">
        <v>2609</v>
      </c>
      <c r="H113" s="495" t="s">
        <v>2610</v>
      </c>
      <c r="I113" s="178" t="s">
        <v>187</v>
      </c>
      <c r="J113" s="183" t="s">
        <v>187</v>
      </c>
      <c r="K113" s="628" t="str">
        <f>VLOOKUP(A113,Geral!$A$1:$D$50,3,FALSE)</f>
        <v>Marise Soares Hansen</v>
      </c>
      <c r="L113" s="633" t="str">
        <f>VLOOKUP(A113,Geral!A:G,7,0)</f>
        <v>2024.3 AC</v>
      </c>
    </row>
    <row r="114" spans="1:12" s="179" customFormat="1" ht="15" customHeight="1">
      <c r="A114" s="611"/>
      <c r="B114" s="613"/>
      <c r="C114" s="615"/>
      <c r="D114" s="182" t="s">
        <v>190</v>
      </c>
      <c r="E114" s="413" t="s">
        <v>2611</v>
      </c>
      <c r="F114" s="184" t="s">
        <v>2612</v>
      </c>
      <c r="G114" s="184" t="s">
        <v>2613</v>
      </c>
      <c r="H114" s="497" t="s">
        <v>2614</v>
      </c>
      <c r="I114" s="178" t="s">
        <v>187</v>
      </c>
      <c r="J114" s="183" t="s">
        <v>187</v>
      </c>
      <c r="K114" s="629"/>
      <c r="L114" s="634"/>
    </row>
    <row r="115" spans="1:12" s="179" customFormat="1" ht="15" customHeight="1">
      <c r="A115" s="611"/>
      <c r="B115" s="613"/>
      <c r="C115" s="618" t="s">
        <v>256</v>
      </c>
      <c r="D115" s="185" t="s">
        <v>195</v>
      </c>
      <c r="E115" s="413" t="s">
        <v>2615</v>
      </c>
      <c r="F115" s="184" t="s">
        <v>2616</v>
      </c>
      <c r="G115" s="184" t="s">
        <v>2617</v>
      </c>
      <c r="H115" s="497" t="s">
        <v>2618</v>
      </c>
      <c r="I115" s="178" t="s">
        <v>187</v>
      </c>
      <c r="J115" s="183" t="s">
        <v>187</v>
      </c>
      <c r="K115" s="629"/>
      <c r="L115" s="634"/>
    </row>
    <row r="116" spans="1:12" s="179" customFormat="1" ht="15" customHeight="1">
      <c r="A116" s="611"/>
      <c r="B116" s="613"/>
      <c r="C116" s="618"/>
      <c r="D116" s="185" t="s">
        <v>199</v>
      </c>
      <c r="E116" s="413" t="s">
        <v>2619</v>
      </c>
      <c r="F116" s="184" t="s">
        <v>2620</v>
      </c>
      <c r="G116" s="184" t="s">
        <v>2621</v>
      </c>
      <c r="H116" s="497" t="s">
        <v>2622</v>
      </c>
      <c r="I116" s="178" t="s">
        <v>187</v>
      </c>
      <c r="J116" s="183" t="s">
        <v>187</v>
      </c>
      <c r="K116" s="629"/>
      <c r="L116" s="634"/>
    </row>
    <row r="117" spans="1:12" s="179" customFormat="1" ht="15" customHeight="1">
      <c r="A117" s="611"/>
      <c r="B117" s="613"/>
      <c r="C117" s="615" t="s">
        <v>266</v>
      </c>
      <c r="D117" s="185" t="s">
        <v>2300</v>
      </c>
      <c r="E117" s="413" t="s">
        <v>266</v>
      </c>
      <c r="F117" s="184" t="s">
        <v>2623</v>
      </c>
      <c r="G117" s="184"/>
      <c r="H117" s="497"/>
      <c r="I117" s="178" t="s">
        <v>187</v>
      </c>
      <c r="J117" s="183" t="s">
        <v>187</v>
      </c>
      <c r="K117" s="629"/>
      <c r="L117" s="634"/>
    </row>
    <row r="118" spans="1:12" s="179" customFormat="1" ht="15" customHeight="1">
      <c r="A118" s="611"/>
      <c r="B118" s="613"/>
      <c r="C118" s="615"/>
      <c r="D118" s="182" t="s">
        <v>204</v>
      </c>
      <c r="E118" s="413" t="s">
        <v>2624</v>
      </c>
      <c r="F118" s="184" t="s">
        <v>2625</v>
      </c>
      <c r="G118" s="184" t="s">
        <v>2626</v>
      </c>
      <c r="H118" s="497" t="s">
        <v>2627</v>
      </c>
      <c r="I118" s="178" t="s">
        <v>187</v>
      </c>
      <c r="J118" s="183" t="s">
        <v>187</v>
      </c>
      <c r="K118" s="629"/>
      <c r="L118" s="634"/>
    </row>
    <row r="119" spans="1:12" s="179" customFormat="1" ht="15" customHeight="1">
      <c r="A119" s="611"/>
      <c r="B119" s="613"/>
      <c r="C119" s="615"/>
      <c r="D119" s="182" t="s">
        <v>208</v>
      </c>
      <c r="E119" s="413" t="s">
        <v>2628</v>
      </c>
      <c r="F119" s="184" t="s">
        <v>2629</v>
      </c>
      <c r="G119" s="184" t="s">
        <v>2630</v>
      </c>
      <c r="H119" s="495" t="s">
        <v>2631</v>
      </c>
      <c r="I119" s="178" t="s">
        <v>187</v>
      </c>
      <c r="J119" s="183" t="s">
        <v>187</v>
      </c>
      <c r="K119" s="629"/>
      <c r="L119" s="634"/>
    </row>
    <row r="120" spans="1:12" s="179" customFormat="1" ht="15" customHeight="1">
      <c r="A120" s="611"/>
      <c r="B120" s="613"/>
      <c r="C120" s="618" t="s">
        <v>278</v>
      </c>
      <c r="D120" s="185" t="s">
        <v>213</v>
      </c>
      <c r="E120" s="413" t="s">
        <v>2632</v>
      </c>
      <c r="F120" s="184" t="s">
        <v>2633</v>
      </c>
      <c r="G120" s="184" t="s">
        <v>2634</v>
      </c>
      <c r="H120" s="497" t="s">
        <v>2635</v>
      </c>
      <c r="I120" s="178" t="s">
        <v>187</v>
      </c>
      <c r="J120" s="183" t="s">
        <v>187</v>
      </c>
      <c r="K120" s="629"/>
      <c r="L120" s="634"/>
    </row>
    <row r="121" spans="1:12" s="179" customFormat="1" ht="15" customHeight="1">
      <c r="A121" s="611"/>
      <c r="B121" s="613"/>
      <c r="C121" s="618"/>
      <c r="D121" s="185" t="s">
        <v>270</v>
      </c>
      <c r="E121" s="413" t="s">
        <v>2636</v>
      </c>
      <c r="F121" s="184" t="s">
        <v>2637</v>
      </c>
      <c r="G121" s="184" t="s">
        <v>2638</v>
      </c>
      <c r="H121" s="497" t="s">
        <v>2639</v>
      </c>
      <c r="I121" s="178" t="s">
        <v>187</v>
      </c>
      <c r="J121" s="183" t="s">
        <v>187</v>
      </c>
      <c r="K121" s="629"/>
      <c r="L121" s="634"/>
    </row>
    <row r="122" spans="1:12" s="179" customFormat="1" ht="15" customHeight="1">
      <c r="A122" s="611"/>
      <c r="B122" s="613"/>
      <c r="C122" s="615" t="s">
        <v>291</v>
      </c>
      <c r="D122" s="182" t="s">
        <v>274</v>
      </c>
      <c r="E122" s="413" t="s">
        <v>2640</v>
      </c>
      <c r="F122" s="184" t="s">
        <v>2641</v>
      </c>
      <c r="G122" s="184" t="s">
        <v>2642</v>
      </c>
      <c r="H122" s="497" t="s">
        <v>2643</v>
      </c>
      <c r="I122" s="178" t="s">
        <v>187</v>
      </c>
      <c r="J122" s="183" t="s">
        <v>187</v>
      </c>
      <c r="K122" s="629"/>
      <c r="L122" s="634"/>
    </row>
    <row r="123" spans="1:12" s="179" customFormat="1" ht="15" customHeight="1">
      <c r="A123" s="611"/>
      <c r="B123" s="613"/>
      <c r="C123" s="615"/>
      <c r="D123" s="182" t="s">
        <v>279</v>
      </c>
      <c r="E123" s="413" t="s">
        <v>2644</v>
      </c>
      <c r="F123" s="184" t="s">
        <v>2645</v>
      </c>
      <c r="G123" s="184" t="s">
        <v>2646</v>
      </c>
      <c r="H123" s="497" t="s">
        <v>2647</v>
      </c>
      <c r="I123" s="178" t="s">
        <v>187</v>
      </c>
      <c r="J123" s="183" t="s">
        <v>187</v>
      </c>
      <c r="K123" s="629"/>
      <c r="L123" s="634"/>
    </row>
    <row r="124" spans="1:12" s="179" customFormat="1" ht="15" customHeight="1">
      <c r="A124" s="611"/>
      <c r="B124" s="613"/>
      <c r="C124" s="618" t="s">
        <v>305</v>
      </c>
      <c r="D124" s="185" t="s">
        <v>283</v>
      </c>
      <c r="E124" s="413" t="s">
        <v>2648</v>
      </c>
      <c r="F124" s="184" t="s">
        <v>2649</v>
      </c>
      <c r="G124" s="184" t="s">
        <v>2650</v>
      </c>
      <c r="H124" s="497" t="s">
        <v>2651</v>
      </c>
      <c r="I124" s="178" t="s">
        <v>187</v>
      </c>
      <c r="J124" s="183" t="s">
        <v>187</v>
      </c>
      <c r="K124" s="629"/>
      <c r="L124" s="634"/>
    </row>
    <row r="125" spans="1:12" s="179" customFormat="1" ht="15" customHeight="1">
      <c r="A125" s="611"/>
      <c r="B125" s="613"/>
      <c r="C125" s="618"/>
      <c r="D125" s="186" t="s">
        <v>287</v>
      </c>
      <c r="E125" s="413" t="s">
        <v>2652</v>
      </c>
      <c r="F125" s="184" t="s">
        <v>2653</v>
      </c>
      <c r="G125" s="184" t="s">
        <v>2654</v>
      </c>
      <c r="H125" s="497" t="s">
        <v>2655</v>
      </c>
      <c r="I125" s="178" t="s">
        <v>187</v>
      </c>
      <c r="J125" s="183" t="s">
        <v>187</v>
      </c>
      <c r="K125" s="629"/>
      <c r="L125" s="634"/>
    </row>
    <row r="126" spans="1:12" s="179" customFormat="1" ht="15" customHeight="1">
      <c r="A126" s="611"/>
      <c r="B126" s="613"/>
      <c r="C126" s="615" t="s">
        <v>365</v>
      </c>
      <c r="D126" s="186" t="s">
        <v>2364</v>
      </c>
      <c r="E126" s="413" t="s">
        <v>365</v>
      </c>
      <c r="F126" s="184" t="s">
        <v>2656</v>
      </c>
      <c r="G126" s="96" t="s">
        <v>2657</v>
      </c>
      <c r="H126" s="497" t="s">
        <v>2658</v>
      </c>
      <c r="I126" s="178" t="s">
        <v>187</v>
      </c>
      <c r="J126" s="183" t="s">
        <v>187</v>
      </c>
      <c r="K126" s="629"/>
      <c r="L126" s="634"/>
    </row>
    <row r="127" spans="1:12" s="179" customFormat="1" ht="15" customHeight="1">
      <c r="A127" s="611"/>
      <c r="B127" s="613"/>
      <c r="C127" s="615"/>
      <c r="D127" s="182" t="s">
        <v>292</v>
      </c>
      <c r="E127" s="413" t="s">
        <v>2659</v>
      </c>
      <c r="F127" s="184" t="s">
        <v>2660</v>
      </c>
      <c r="G127" s="184" t="s">
        <v>2661</v>
      </c>
      <c r="H127" s="497" t="s">
        <v>2662</v>
      </c>
      <c r="I127" s="178" t="s">
        <v>187</v>
      </c>
      <c r="J127" s="183" t="s">
        <v>187</v>
      </c>
      <c r="K127" s="629"/>
      <c r="L127" s="634"/>
    </row>
    <row r="128" spans="1:12" s="179" customFormat="1" ht="15" customHeight="1">
      <c r="A128" s="611"/>
      <c r="B128" s="613"/>
      <c r="C128" s="615"/>
      <c r="D128" s="182" t="s">
        <v>297</v>
      </c>
      <c r="E128" s="413" t="s">
        <v>2663</v>
      </c>
      <c r="F128" s="184" t="s">
        <v>2664</v>
      </c>
      <c r="G128" s="184" t="s">
        <v>2665</v>
      </c>
      <c r="H128" s="497" t="s">
        <v>2666</v>
      </c>
      <c r="I128" s="178" t="s">
        <v>187</v>
      </c>
      <c r="J128" s="183" t="s">
        <v>187</v>
      </c>
      <c r="K128" s="629"/>
      <c r="L128" s="634"/>
    </row>
    <row r="129" spans="1:12" s="179" customFormat="1" ht="15" customHeight="1">
      <c r="A129" s="611"/>
      <c r="B129" s="613"/>
      <c r="C129" s="618" t="s">
        <v>1351</v>
      </c>
      <c r="D129" s="185" t="s">
        <v>301</v>
      </c>
      <c r="E129" s="413" t="s">
        <v>2667</v>
      </c>
      <c r="F129" s="184" t="s">
        <v>2668</v>
      </c>
      <c r="G129" s="184" t="s">
        <v>2669</v>
      </c>
      <c r="H129" s="497" t="s">
        <v>2670</v>
      </c>
      <c r="I129" s="178" t="s">
        <v>187</v>
      </c>
      <c r="J129" s="183" t="s">
        <v>187</v>
      </c>
      <c r="K129" s="629"/>
      <c r="L129" s="634"/>
    </row>
    <row r="130" spans="1:12" s="179" customFormat="1" ht="15" customHeight="1">
      <c r="A130" s="611"/>
      <c r="B130" s="613"/>
      <c r="C130" s="618"/>
      <c r="D130" s="185" t="s">
        <v>306</v>
      </c>
      <c r="E130" s="413" t="s">
        <v>2671</v>
      </c>
      <c r="F130" s="184" t="s">
        <v>2672</v>
      </c>
      <c r="G130" s="96" t="s">
        <v>2673</v>
      </c>
      <c r="H130" s="497" t="s">
        <v>2674</v>
      </c>
      <c r="I130" s="178" t="s">
        <v>187</v>
      </c>
      <c r="J130" s="183" t="s">
        <v>187</v>
      </c>
      <c r="K130" s="629"/>
      <c r="L130" s="634"/>
    </row>
    <row r="131" spans="1:12" s="179" customFormat="1" ht="15" customHeight="1">
      <c r="A131" s="194"/>
      <c r="B131" s="194"/>
      <c r="C131" s="189"/>
      <c r="D131" s="189"/>
      <c r="E131" s="407"/>
      <c r="F131" s="189"/>
      <c r="G131" s="228"/>
      <c r="H131" s="228"/>
      <c r="I131" s="180"/>
      <c r="J131" s="180"/>
      <c r="K131" s="181"/>
      <c r="L131" s="180"/>
    </row>
    <row r="132" spans="1:12" s="179" customFormat="1" ht="15" customHeight="1">
      <c r="A132" s="610" t="s">
        <v>144</v>
      </c>
      <c r="B132" s="612" t="str">
        <f>VLOOKUP(A132,Geral!$A$1:$D$50,2,FALSE)</f>
        <v>Aquisição da Linguagem: Oralidade e Escrita</v>
      </c>
      <c r="C132" s="614" t="s">
        <v>245</v>
      </c>
      <c r="D132" s="182" t="s">
        <v>184</v>
      </c>
      <c r="E132" s="413" t="s">
        <v>2675</v>
      </c>
      <c r="F132" s="327" t="s">
        <v>2676</v>
      </c>
      <c r="G132" s="184"/>
      <c r="H132" s="497" t="s">
        <v>2677</v>
      </c>
      <c r="I132" s="178" t="s">
        <v>187</v>
      </c>
      <c r="J132" s="183" t="s">
        <v>187</v>
      </c>
      <c r="K132" s="630" t="str">
        <f>VLOOKUP(A132,Geral!$A$1:$D$50,3,FALSE)</f>
        <v>Lúcia Regiane Lopes-Damasio</v>
      </c>
      <c r="L132" s="633" t="str">
        <f>VLOOKUP(A132,Geral!A:G,7,0)</f>
        <v>2024.3 AC</v>
      </c>
    </row>
    <row r="133" spans="1:12" s="179" customFormat="1" ht="15" customHeight="1">
      <c r="A133" s="611"/>
      <c r="B133" s="613"/>
      <c r="C133" s="615"/>
      <c r="D133" s="182" t="s">
        <v>190</v>
      </c>
      <c r="E133" s="413" t="s">
        <v>2678</v>
      </c>
      <c r="F133" s="190" t="s">
        <v>2679</v>
      </c>
      <c r="G133" s="184" t="s">
        <v>2680</v>
      </c>
      <c r="H133" s="497" t="s">
        <v>2681</v>
      </c>
      <c r="I133" s="178" t="s">
        <v>187</v>
      </c>
      <c r="J133" s="183" t="s">
        <v>187</v>
      </c>
      <c r="K133" s="627"/>
      <c r="L133" s="634"/>
    </row>
    <row r="134" spans="1:12" s="179" customFormat="1" ht="15" customHeight="1">
      <c r="A134" s="611"/>
      <c r="B134" s="613"/>
      <c r="C134" s="616"/>
      <c r="D134" s="182" t="s">
        <v>195</v>
      </c>
      <c r="E134" s="413" t="s">
        <v>2682</v>
      </c>
      <c r="F134" s="190" t="s">
        <v>2683</v>
      </c>
      <c r="G134" s="96" t="s">
        <v>2684</v>
      </c>
      <c r="H134" s="497" t="s">
        <v>2685</v>
      </c>
      <c r="I134" s="178" t="s">
        <v>187</v>
      </c>
      <c r="J134" s="183" t="s">
        <v>187</v>
      </c>
      <c r="K134" s="627"/>
      <c r="L134" s="634"/>
    </row>
    <row r="135" spans="1:12" s="179" customFormat="1" ht="15" customHeight="1">
      <c r="A135" s="611"/>
      <c r="B135" s="613"/>
      <c r="C135" s="617" t="s">
        <v>256</v>
      </c>
      <c r="D135" s="185" t="s">
        <v>199</v>
      </c>
      <c r="E135" s="413" t="s">
        <v>2686</v>
      </c>
      <c r="F135" s="190" t="s">
        <v>2687</v>
      </c>
      <c r="G135" s="184" t="s">
        <v>2688</v>
      </c>
      <c r="H135" s="497" t="s">
        <v>2689</v>
      </c>
      <c r="I135" s="178" t="s">
        <v>187</v>
      </c>
      <c r="J135" s="183" t="s">
        <v>187</v>
      </c>
      <c r="K135" s="627"/>
      <c r="L135" s="634"/>
    </row>
    <row r="136" spans="1:12" s="179" customFormat="1" ht="15" customHeight="1">
      <c r="A136" s="611"/>
      <c r="B136" s="613"/>
      <c r="C136" s="618"/>
      <c r="D136" s="185" t="s">
        <v>204</v>
      </c>
      <c r="E136" s="413" t="s">
        <v>2690</v>
      </c>
      <c r="F136" s="190" t="s">
        <v>2691</v>
      </c>
      <c r="G136" s="184" t="s">
        <v>2692</v>
      </c>
      <c r="H136" s="497" t="s">
        <v>2693</v>
      </c>
      <c r="I136" s="178" t="s">
        <v>187</v>
      </c>
      <c r="J136" s="183" t="s">
        <v>187</v>
      </c>
      <c r="K136" s="627"/>
      <c r="L136" s="634"/>
    </row>
    <row r="137" spans="1:12" s="179" customFormat="1" ht="15" customHeight="1">
      <c r="A137" s="611"/>
      <c r="B137" s="613"/>
      <c r="C137" s="615" t="s">
        <v>266</v>
      </c>
      <c r="D137" s="182" t="s">
        <v>208</v>
      </c>
      <c r="E137" s="413" t="s">
        <v>2694</v>
      </c>
      <c r="F137" s="184" t="s">
        <v>2695</v>
      </c>
      <c r="G137" s="184" t="s">
        <v>2696</v>
      </c>
      <c r="H137" s="497" t="s">
        <v>2697</v>
      </c>
      <c r="I137" s="178" t="s">
        <v>187</v>
      </c>
      <c r="J137" s="183" t="s">
        <v>187</v>
      </c>
      <c r="K137" s="627"/>
      <c r="L137" s="634"/>
    </row>
    <row r="138" spans="1:12" s="179" customFormat="1" ht="15" customHeight="1">
      <c r="A138" s="611"/>
      <c r="B138" s="613"/>
      <c r="C138" s="615"/>
      <c r="D138" s="182" t="s">
        <v>213</v>
      </c>
      <c r="E138" s="413" t="s">
        <v>2698</v>
      </c>
      <c r="F138" s="184" t="s">
        <v>2699</v>
      </c>
      <c r="G138" s="184" t="s">
        <v>2700</v>
      </c>
      <c r="H138" s="497" t="s">
        <v>2701</v>
      </c>
      <c r="I138" s="178" t="s">
        <v>187</v>
      </c>
      <c r="J138" s="183" t="s">
        <v>187</v>
      </c>
      <c r="K138" s="627"/>
      <c r="L138" s="634"/>
    </row>
    <row r="139" spans="1:12" s="179" customFormat="1" ht="15" customHeight="1">
      <c r="A139" s="611"/>
      <c r="B139" s="613"/>
      <c r="C139" s="618" t="s">
        <v>278</v>
      </c>
      <c r="D139" s="185" t="s">
        <v>270</v>
      </c>
      <c r="E139" s="413" t="s">
        <v>2702</v>
      </c>
      <c r="F139" s="184" t="s">
        <v>2703</v>
      </c>
      <c r="G139" s="184" t="s">
        <v>2704</v>
      </c>
      <c r="H139" s="497" t="s">
        <v>2705</v>
      </c>
      <c r="I139" s="178" t="s">
        <v>187</v>
      </c>
      <c r="J139" s="183" t="s">
        <v>187</v>
      </c>
      <c r="K139" s="627"/>
      <c r="L139" s="634"/>
    </row>
    <row r="140" spans="1:12" s="179" customFormat="1" ht="15" customHeight="1">
      <c r="A140" s="611"/>
      <c r="B140" s="613"/>
      <c r="C140" s="618"/>
      <c r="D140" s="185" t="s">
        <v>274</v>
      </c>
      <c r="E140" s="413" t="s">
        <v>2706</v>
      </c>
      <c r="F140" s="184" t="s">
        <v>2707</v>
      </c>
      <c r="G140" s="184" t="s">
        <v>2708</v>
      </c>
      <c r="H140" s="497" t="s">
        <v>2709</v>
      </c>
      <c r="I140" s="178" t="s">
        <v>187</v>
      </c>
      <c r="J140" s="183" t="s">
        <v>187</v>
      </c>
      <c r="K140" s="627"/>
      <c r="L140" s="634"/>
    </row>
    <row r="141" spans="1:12" s="179" customFormat="1" ht="15" customHeight="1">
      <c r="A141" s="611"/>
      <c r="B141" s="613"/>
      <c r="C141" s="618"/>
      <c r="D141" s="185" t="s">
        <v>279</v>
      </c>
      <c r="E141" s="413" t="s">
        <v>2710</v>
      </c>
      <c r="F141" s="184" t="s">
        <v>2711</v>
      </c>
      <c r="G141" s="184" t="s">
        <v>2712</v>
      </c>
      <c r="H141" s="497" t="s">
        <v>2713</v>
      </c>
      <c r="I141" s="178" t="s">
        <v>187</v>
      </c>
      <c r="J141" s="183" t="s">
        <v>187</v>
      </c>
      <c r="K141" s="627"/>
      <c r="L141" s="634"/>
    </row>
    <row r="142" spans="1:12" s="179" customFormat="1" ht="15" customHeight="1">
      <c r="A142" s="611"/>
      <c r="B142" s="613"/>
      <c r="C142" s="615" t="s">
        <v>291</v>
      </c>
      <c r="D142" s="182" t="s">
        <v>283</v>
      </c>
      <c r="E142" s="413" t="s">
        <v>2714</v>
      </c>
      <c r="F142" s="184" t="s">
        <v>2715</v>
      </c>
      <c r="G142" s="184" t="s">
        <v>2716</v>
      </c>
      <c r="H142" s="497" t="s">
        <v>2717</v>
      </c>
      <c r="I142" s="178" t="s">
        <v>187</v>
      </c>
      <c r="J142" s="183" t="s">
        <v>187</v>
      </c>
      <c r="K142" s="627"/>
      <c r="L142" s="634"/>
    </row>
    <row r="143" spans="1:12" s="179" customFormat="1" ht="15" customHeight="1">
      <c r="A143" s="611"/>
      <c r="B143" s="613"/>
      <c r="C143" s="615"/>
      <c r="D143" s="187" t="s">
        <v>287</v>
      </c>
      <c r="E143" s="413" t="s">
        <v>2718</v>
      </c>
      <c r="F143" s="184" t="s">
        <v>2719</v>
      </c>
      <c r="G143" s="184" t="s">
        <v>2720</v>
      </c>
      <c r="H143" s="497" t="s">
        <v>2721</v>
      </c>
      <c r="I143" s="178" t="s">
        <v>187</v>
      </c>
      <c r="J143" s="183" t="s">
        <v>187</v>
      </c>
      <c r="K143" s="627"/>
      <c r="L143" s="634"/>
    </row>
    <row r="144" spans="1:12" s="179" customFormat="1" ht="15" customHeight="1">
      <c r="A144" s="611"/>
      <c r="B144" s="613"/>
      <c r="C144" s="615"/>
      <c r="D144" s="182" t="s">
        <v>292</v>
      </c>
      <c r="E144" s="413" t="s">
        <v>2722</v>
      </c>
      <c r="F144" s="184" t="s">
        <v>2723</v>
      </c>
      <c r="G144" s="184" t="s">
        <v>2724</v>
      </c>
      <c r="H144" s="497" t="s">
        <v>2725</v>
      </c>
      <c r="I144" s="178" t="s">
        <v>187</v>
      </c>
      <c r="J144" s="183" t="s">
        <v>187</v>
      </c>
      <c r="K144" s="627"/>
      <c r="L144" s="634"/>
    </row>
    <row r="145" spans="1:12" s="179" customFormat="1" ht="15" customHeight="1">
      <c r="A145" s="611"/>
      <c r="B145" s="613"/>
      <c r="C145" s="618" t="s">
        <v>305</v>
      </c>
      <c r="D145" s="185" t="s">
        <v>297</v>
      </c>
      <c r="E145" s="413" t="s">
        <v>2726</v>
      </c>
      <c r="F145" s="184" t="s">
        <v>2727</v>
      </c>
      <c r="G145" s="184" t="s">
        <v>2728</v>
      </c>
      <c r="H145" s="497" t="s">
        <v>2729</v>
      </c>
      <c r="I145" s="178" t="s">
        <v>187</v>
      </c>
      <c r="J145" s="183" t="s">
        <v>187</v>
      </c>
      <c r="K145" s="627"/>
      <c r="L145" s="634"/>
    </row>
    <row r="146" spans="1:12" s="179" customFormat="1" ht="15" customHeight="1">
      <c r="A146" s="611"/>
      <c r="B146" s="613"/>
      <c r="C146" s="618"/>
      <c r="D146" s="185" t="s">
        <v>301</v>
      </c>
      <c r="E146" s="413" t="s">
        <v>2730</v>
      </c>
      <c r="F146" s="184" t="s">
        <v>2731</v>
      </c>
      <c r="G146" s="184" t="s">
        <v>2732</v>
      </c>
      <c r="H146" s="497" t="s">
        <v>2733</v>
      </c>
      <c r="I146" s="178" t="s">
        <v>187</v>
      </c>
      <c r="J146" s="183" t="s">
        <v>187</v>
      </c>
      <c r="K146" s="627"/>
      <c r="L146" s="634"/>
    </row>
    <row r="147" spans="1:12" s="179" customFormat="1" ht="15" customHeight="1">
      <c r="A147" s="611"/>
      <c r="B147" s="613"/>
      <c r="C147" s="618"/>
      <c r="D147" s="185" t="s">
        <v>306</v>
      </c>
      <c r="E147" s="413" t="s">
        <v>2734</v>
      </c>
      <c r="F147" s="184" t="s">
        <v>2735</v>
      </c>
      <c r="G147" s="184" t="s">
        <v>2736</v>
      </c>
      <c r="H147" s="497" t="s">
        <v>2737</v>
      </c>
      <c r="I147" s="178" t="s">
        <v>187</v>
      </c>
      <c r="J147" s="183" t="s">
        <v>187</v>
      </c>
      <c r="K147" s="627"/>
      <c r="L147" s="634"/>
    </row>
    <row r="148" spans="1:12" s="179" customFormat="1" ht="15" customHeight="1">
      <c r="A148" s="611"/>
      <c r="B148" s="613"/>
      <c r="C148" s="615" t="s">
        <v>365</v>
      </c>
      <c r="D148" s="182" t="s">
        <v>425</v>
      </c>
      <c r="E148" s="413" t="s">
        <v>2738</v>
      </c>
      <c r="F148" s="184" t="s">
        <v>2739</v>
      </c>
      <c r="G148" s="184" t="s">
        <v>2740</v>
      </c>
      <c r="H148" s="497" t="s">
        <v>2741</v>
      </c>
      <c r="I148" s="178" t="s">
        <v>187</v>
      </c>
      <c r="J148" s="183" t="s">
        <v>187</v>
      </c>
      <c r="K148" s="627"/>
      <c r="L148" s="634"/>
    </row>
    <row r="149" spans="1:12" s="179" customFormat="1" ht="15" customHeight="1">
      <c r="A149" s="611"/>
      <c r="B149" s="613"/>
      <c r="C149" s="615"/>
      <c r="D149" s="182" t="s">
        <v>429</v>
      </c>
      <c r="E149" s="413" t="s">
        <v>2742</v>
      </c>
      <c r="F149" s="184" t="s">
        <v>2743</v>
      </c>
      <c r="G149" s="184" t="s">
        <v>2744</v>
      </c>
      <c r="H149" s="497" t="s">
        <v>2745</v>
      </c>
      <c r="I149" s="178" t="s">
        <v>187</v>
      </c>
      <c r="J149" s="183" t="s">
        <v>187</v>
      </c>
      <c r="K149" s="627"/>
      <c r="L149" s="634"/>
    </row>
    <row r="150" spans="1:12" s="179" customFormat="1" ht="15" customHeight="1">
      <c r="A150" s="611"/>
      <c r="B150" s="613"/>
      <c r="C150" s="615"/>
      <c r="D150" s="182" t="s">
        <v>433</v>
      </c>
      <c r="E150" s="413" t="s">
        <v>2746</v>
      </c>
      <c r="F150" s="184" t="s">
        <v>2747</v>
      </c>
      <c r="G150" s="184" t="s">
        <v>2748</v>
      </c>
      <c r="H150" s="497" t="s">
        <v>2749</v>
      </c>
      <c r="I150" s="178" t="s">
        <v>187</v>
      </c>
      <c r="J150" s="183" t="s">
        <v>187</v>
      </c>
      <c r="K150" s="627"/>
      <c r="L150" s="634"/>
    </row>
    <row r="151" spans="1:12" s="179" customFormat="1" ht="15" customHeight="1">
      <c r="A151" s="611"/>
      <c r="B151" s="613"/>
      <c r="C151" s="615"/>
      <c r="D151" s="182" t="s">
        <v>437</v>
      </c>
      <c r="E151" s="413" t="s">
        <v>2750</v>
      </c>
      <c r="F151" s="184" t="s">
        <v>2751</v>
      </c>
      <c r="G151" s="184" t="s">
        <v>2752</v>
      </c>
      <c r="H151" s="497" t="s">
        <v>2753</v>
      </c>
      <c r="I151" s="178" t="s">
        <v>187</v>
      </c>
      <c r="J151" s="183" t="s">
        <v>187</v>
      </c>
      <c r="K151" s="627"/>
      <c r="L151" s="634"/>
    </row>
    <row r="152" spans="1:12" s="179" customFormat="1" ht="15" customHeight="1">
      <c r="A152" s="611"/>
      <c r="B152" s="613"/>
      <c r="C152" s="191" t="s">
        <v>1351</v>
      </c>
      <c r="D152" s="185" t="s">
        <v>639</v>
      </c>
      <c r="E152" s="413" t="s">
        <v>2754</v>
      </c>
      <c r="F152" s="184" t="s">
        <v>2755</v>
      </c>
      <c r="G152" s="184" t="s">
        <v>2756</v>
      </c>
      <c r="H152" s="497" t="s">
        <v>2757</v>
      </c>
      <c r="I152" s="178" t="s">
        <v>187</v>
      </c>
      <c r="J152" s="183" t="s">
        <v>187</v>
      </c>
      <c r="K152" s="627"/>
      <c r="L152" s="634"/>
    </row>
    <row r="153" spans="1:12" s="179" customFormat="1" ht="15" customHeight="1">
      <c r="A153" s="194"/>
      <c r="B153" s="194"/>
      <c r="C153" s="189"/>
      <c r="D153" s="189"/>
      <c r="E153" s="407"/>
      <c r="F153" s="189"/>
      <c r="G153" s="228"/>
      <c r="H153" s="228"/>
      <c r="I153" s="180"/>
      <c r="J153" s="180"/>
      <c r="K153" s="181"/>
      <c r="L153" s="180"/>
    </row>
    <row r="154" spans="1:12" ht="15" customHeight="1">
      <c r="A154" s="619" t="s">
        <v>147</v>
      </c>
      <c r="B154" s="621" t="s">
        <v>148</v>
      </c>
      <c r="C154" s="622" t="s">
        <v>245</v>
      </c>
      <c r="D154" s="231" t="s">
        <v>184</v>
      </c>
      <c r="E154" s="418" t="s">
        <v>2758</v>
      </c>
      <c r="F154" s="273" t="s">
        <v>2759</v>
      </c>
      <c r="G154" s="353" t="s">
        <v>2760</v>
      </c>
      <c r="H154" s="498" t="s">
        <v>2761</v>
      </c>
      <c r="I154" s="44" t="s">
        <v>187</v>
      </c>
      <c r="J154" s="239"/>
      <c r="K154" s="631" t="s">
        <v>2762</v>
      </c>
      <c r="L154" s="589" t="str">
        <f>VLOOKUP(A154,Geral!A:G,7,0)</f>
        <v>2024.3 AC</v>
      </c>
    </row>
    <row r="155" spans="1:12" ht="15" customHeight="1">
      <c r="A155" s="620"/>
      <c r="B155" s="555"/>
      <c r="C155" s="623"/>
      <c r="D155" s="231" t="s">
        <v>190</v>
      </c>
      <c r="E155" s="419" t="s">
        <v>2763</v>
      </c>
      <c r="F155" s="274" t="s">
        <v>2764</v>
      </c>
      <c r="G155" s="355" t="s">
        <v>2765</v>
      </c>
      <c r="H155" s="499" t="s">
        <v>2766</v>
      </c>
      <c r="I155" s="44" t="s">
        <v>187</v>
      </c>
      <c r="J155" s="239"/>
      <c r="K155" s="632"/>
      <c r="L155" s="572"/>
    </row>
    <row r="156" spans="1:12" ht="15" customHeight="1">
      <c r="A156" s="620"/>
      <c r="B156" s="555"/>
      <c r="C156" s="624"/>
      <c r="D156" s="231" t="s">
        <v>195</v>
      </c>
      <c r="E156" s="419" t="s">
        <v>2767</v>
      </c>
      <c r="F156" s="274" t="s">
        <v>2768</v>
      </c>
      <c r="G156" s="355" t="s">
        <v>2769</v>
      </c>
      <c r="H156" s="499" t="s">
        <v>2770</v>
      </c>
      <c r="I156" s="44" t="s">
        <v>187</v>
      </c>
      <c r="J156" s="239"/>
      <c r="K156" s="632"/>
      <c r="L156" s="572"/>
    </row>
    <row r="157" spans="1:12" ht="15" customHeight="1">
      <c r="A157" s="620"/>
      <c r="B157" s="555"/>
      <c r="C157" s="622" t="s">
        <v>256</v>
      </c>
      <c r="D157" s="234" t="s">
        <v>199</v>
      </c>
      <c r="E157" s="419" t="s">
        <v>2771</v>
      </c>
      <c r="F157" s="274" t="s">
        <v>2772</v>
      </c>
      <c r="G157" s="355" t="s">
        <v>2773</v>
      </c>
      <c r="H157" s="499" t="s">
        <v>2774</v>
      </c>
      <c r="I157" s="44" t="s">
        <v>187</v>
      </c>
      <c r="J157" s="239"/>
      <c r="K157" s="632"/>
      <c r="L157" s="572"/>
    </row>
    <row r="158" spans="1:12" ht="15" customHeight="1">
      <c r="A158" s="620"/>
      <c r="B158" s="555"/>
      <c r="C158" s="623"/>
      <c r="D158" s="234" t="s">
        <v>204</v>
      </c>
      <c r="E158" s="419" t="s">
        <v>2775</v>
      </c>
      <c r="F158" s="274" t="s">
        <v>2776</v>
      </c>
      <c r="G158" s="355" t="s">
        <v>2777</v>
      </c>
      <c r="H158" s="499" t="s">
        <v>2778</v>
      </c>
      <c r="I158" s="44" t="s">
        <v>187</v>
      </c>
      <c r="J158" s="239"/>
      <c r="K158" s="632"/>
      <c r="L158" s="572"/>
    </row>
    <row r="159" spans="1:12" ht="15" customHeight="1">
      <c r="A159" s="620"/>
      <c r="B159" s="555"/>
      <c r="C159" s="623"/>
      <c r="D159" s="234" t="s">
        <v>208</v>
      </c>
      <c r="E159" s="419" t="s">
        <v>2779</v>
      </c>
      <c r="F159" s="274" t="s">
        <v>2780</v>
      </c>
      <c r="G159" s="355" t="s">
        <v>2781</v>
      </c>
      <c r="H159" s="499" t="s">
        <v>2782</v>
      </c>
      <c r="I159" s="44" t="s">
        <v>187</v>
      </c>
      <c r="J159" s="239"/>
      <c r="K159" s="632"/>
      <c r="L159" s="572"/>
    </row>
    <row r="160" spans="1:12" ht="15" customHeight="1">
      <c r="A160" s="620"/>
      <c r="B160" s="555"/>
      <c r="C160" s="623" t="s">
        <v>266</v>
      </c>
      <c r="D160" s="231" t="s">
        <v>213</v>
      </c>
      <c r="E160" s="419" t="s">
        <v>2783</v>
      </c>
      <c r="F160" s="274" t="s">
        <v>2784</v>
      </c>
      <c r="G160" s="355" t="s">
        <v>2785</v>
      </c>
      <c r="H160" s="499" t="s">
        <v>2786</v>
      </c>
      <c r="I160" s="44" t="s">
        <v>187</v>
      </c>
      <c r="J160" s="239"/>
      <c r="K160" s="632"/>
      <c r="L160" s="572"/>
    </row>
    <row r="161" spans="1:12" ht="15" customHeight="1">
      <c r="A161" s="620"/>
      <c r="B161" s="555"/>
      <c r="C161" s="623"/>
      <c r="D161" s="231" t="s">
        <v>270</v>
      </c>
      <c r="E161" s="419" t="s">
        <v>2787</v>
      </c>
      <c r="F161" s="274" t="s">
        <v>2788</v>
      </c>
      <c r="G161" s="355" t="s">
        <v>2789</v>
      </c>
      <c r="H161" s="499" t="s">
        <v>2790</v>
      </c>
      <c r="I161" s="44" t="s">
        <v>187</v>
      </c>
      <c r="J161" s="239"/>
      <c r="K161" s="632"/>
      <c r="L161" s="572"/>
    </row>
    <row r="162" spans="1:12" ht="15" customHeight="1">
      <c r="A162" s="620"/>
      <c r="B162" s="555"/>
      <c r="C162" s="623"/>
      <c r="D162" s="231" t="s">
        <v>274</v>
      </c>
      <c r="E162" s="419" t="s">
        <v>2791</v>
      </c>
      <c r="F162" s="274" t="s">
        <v>2792</v>
      </c>
      <c r="G162" s="355" t="s">
        <v>2793</v>
      </c>
      <c r="H162" s="499" t="s">
        <v>2794</v>
      </c>
      <c r="I162" s="44" t="s">
        <v>187</v>
      </c>
      <c r="J162" s="239"/>
      <c r="K162" s="632"/>
      <c r="L162" s="572"/>
    </row>
    <row r="163" spans="1:12" ht="15" customHeight="1">
      <c r="A163" s="620"/>
      <c r="B163" s="555"/>
      <c r="C163" s="623" t="s">
        <v>278</v>
      </c>
      <c r="D163" s="234" t="s">
        <v>279</v>
      </c>
      <c r="E163" s="419" t="s">
        <v>2795</v>
      </c>
      <c r="F163" s="274" t="s">
        <v>2796</v>
      </c>
      <c r="G163" s="378" t="s">
        <v>2797</v>
      </c>
      <c r="H163" s="499" t="s">
        <v>2798</v>
      </c>
      <c r="I163" s="44" t="s">
        <v>187</v>
      </c>
      <c r="J163" s="239"/>
      <c r="K163" s="632"/>
      <c r="L163" s="572"/>
    </row>
    <row r="164" spans="1:12" ht="15" customHeight="1">
      <c r="A164" s="620"/>
      <c r="B164" s="555"/>
      <c r="C164" s="623"/>
      <c r="D164" s="234" t="s">
        <v>283</v>
      </c>
      <c r="E164" s="419" t="s">
        <v>2799</v>
      </c>
      <c r="F164" s="274" t="s">
        <v>2800</v>
      </c>
      <c r="G164" s="355" t="s">
        <v>2801</v>
      </c>
      <c r="H164" s="499" t="s">
        <v>2802</v>
      </c>
      <c r="I164" s="44" t="s">
        <v>187</v>
      </c>
      <c r="K164" s="632"/>
      <c r="L164" s="572"/>
    </row>
    <row r="165" spans="1:12" ht="15" customHeight="1">
      <c r="A165" s="620"/>
      <c r="B165" s="555"/>
      <c r="C165" s="623"/>
      <c r="D165" s="235" t="s">
        <v>287</v>
      </c>
      <c r="E165" s="419" t="s">
        <v>2803</v>
      </c>
      <c r="F165" s="274" t="s">
        <v>2804</v>
      </c>
      <c r="G165" s="355" t="s">
        <v>2805</v>
      </c>
      <c r="H165" s="499" t="s">
        <v>2806</v>
      </c>
      <c r="I165" s="44" t="s">
        <v>187</v>
      </c>
      <c r="K165" s="632"/>
      <c r="L165" s="572"/>
    </row>
    <row r="166" spans="1:12" ht="15" customHeight="1">
      <c r="A166" s="620"/>
      <c r="B166" s="555"/>
      <c r="C166" s="623" t="s">
        <v>291</v>
      </c>
      <c r="D166" s="231" t="s">
        <v>292</v>
      </c>
      <c r="E166" s="419" t="s">
        <v>2807</v>
      </c>
      <c r="F166" s="274" t="s">
        <v>2808</v>
      </c>
      <c r="G166" s="355" t="s">
        <v>2809</v>
      </c>
      <c r="H166" s="499" t="s">
        <v>2810</v>
      </c>
      <c r="I166" s="44" t="s">
        <v>187</v>
      </c>
      <c r="J166" s="239"/>
      <c r="K166" s="632"/>
      <c r="L166" s="572"/>
    </row>
    <row r="167" spans="1:12" ht="15" customHeight="1">
      <c r="A167" s="620"/>
      <c r="B167" s="555"/>
      <c r="C167" s="623"/>
      <c r="D167" s="231" t="s">
        <v>297</v>
      </c>
      <c r="E167" s="419" t="s">
        <v>2811</v>
      </c>
      <c r="F167" s="274" t="s">
        <v>2812</v>
      </c>
      <c r="G167" s="355" t="s">
        <v>2813</v>
      </c>
      <c r="H167" s="499" t="s">
        <v>2814</v>
      </c>
      <c r="I167" s="44" t="s">
        <v>187</v>
      </c>
      <c r="J167" s="239"/>
      <c r="K167" s="632"/>
      <c r="L167" s="572"/>
    </row>
    <row r="168" spans="1:12" ht="15" customHeight="1">
      <c r="A168" s="620"/>
      <c r="B168" s="555"/>
      <c r="C168" s="623"/>
      <c r="D168" s="231" t="s">
        <v>301</v>
      </c>
      <c r="E168" s="419" t="s">
        <v>2815</v>
      </c>
      <c r="F168" s="274" t="s">
        <v>2816</v>
      </c>
      <c r="G168" s="355" t="s">
        <v>2817</v>
      </c>
      <c r="H168" s="499" t="s">
        <v>2818</v>
      </c>
      <c r="I168" s="44" t="s">
        <v>187</v>
      </c>
      <c r="J168" s="245"/>
      <c r="K168" s="632"/>
      <c r="L168" s="572"/>
    </row>
    <row r="169" spans="1:12" ht="15" customHeight="1">
      <c r="A169" s="620"/>
      <c r="B169" s="555"/>
      <c r="C169" s="623" t="s">
        <v>305</v>
      </c>
      <c r="D169" s="234" t="s">
        <v>306</v>
      </c>
      <c r="E169" s="419" t="s">
        <v>2819</v>
      </c>
      <c r="F169" s="274" t="s">
        <v>2820</v>
      </c>
      <c r="G169" s="355" t="s">
        <v>2821</v>
      </c>
      <c r="H169" s="499" t="s">
        <v>2822</v>
      </c>
      <c r="I169" s="44" t="s">
        <v>187</v>
      </c>
      <c r="J169" s="239"/>
      <c r="K169" s="632"/>
      <c r="L169" s="572"/>
    </row>
    <row r="170" spans="1:12" ht="15" customHeight="1">
      <c r="A170" s="620"/>
      <c r="B170" s="555"/>
      <c r="C170" s="623"/>
      <c r="D170" s="234" t="s">
        <v>425</v>
      </c>
      <c r="E170" s="419" t="s">
        <v>2823</v>
      </c>
      <c r="F170" s="274" t="s">
        <v>2824</v>
      </c>
      <c r="G170" s="355" t="s">
        <v>2825</v>
      </c>
      <c r="H170" s="60" t="s">
        <v>2826</v>
      </c>
      <c r="I170" s="44" t="s">
        <v>187</v>
      </c>
      <c r="J170" s="239"/>
      <c r="K170" s="632"/>
      <c r="L170" s="572"/>
    </row>
    <row r="171" spans="1:12" ht="15" customHeight="1">
      <c r="A171" s="620"/>
      <c r="B171" s="555"/>
      <c r="C171" s="623"/>
      <c r="D171" s="234" t="s">
        <v>429</v>
      </c>
      <c r="E171" s="419" t="s">
        <v>2827</v>
      </c>
      <c r="F171" s="274" t="s">
        <v>2828</v>
      </c>
      <c r="G171" s="355" t="s">
        <v>2829</v>
      </c>
      <c r="H171" s="499" t="s">
        <v>2830</v>
      </c>
      <c r="I171" s="44" t="s">
        <v>187</v>
      </c>
      <c r="J171" s="239"/>
      <c r="K171" s="632"/>
      <c r="L171" s="572"/>
    </row>
    <row r="172" spans="1:12" ht="15" customHeight="1">
      <c r="A172" s="620"/>
      <c r="B172" s="555"/>
      <c r="C172" s="625" t="s">
        <v>365</v>
      </c>
      <c r="D172" s="231" t="s">
        <v>433</v>
      </c>
      <c r="E172" s="419" t="s">
        <v>2831</v>
      </c>
      <c r="F172" s="274" t="s">
        <v>2832</v>
      </c>
      <c r="G172" s="355" t="s">
        <v>2833</v>
      </c>
      <c r="H172" s="499" t="s">
        <v>2834</v>
      </c>
      <c r="I172" s="44" t="s">
        <v>187</v>
      </c>
      <c r="J172" s="239"/>
      <c r="K172" s="632"/>
      <c r="L172" s="572"/>
    </row>
    <row r="173" spans="1:12" ht="15" customHeight="1">
      <c r="A173" s="620"/>
      <c r="B173" s="555"/>
      <c r="C173" s="625"/>
      <c r="D173" s="231" t="s">
        <v>437</v>
      </c>
      <c r="E173" s="419" t="s">
        <v>2835</v>
      </c>
      <c r="F173" s="274" t="s">
        <v>2836</v>
      </c>
      <c r="G173" s="355" t="s">
        <v>2837</v>
      </c>
      <c r="H173" s="499" t="s">
        <v>2838</v>
      </c>
      <c r="I173" s="44" t="s">
        <v>187</v>
      </c>
      <c r="J173" s="239"/>
      <c r="K173" s="632"/>
      <c r="L173" s="572"/>
    </row>
    <row r="174" spans="1:12" ht="15" customHeight="1">
      <c r="A174" s="620"/>
      <c r="B174" s="555"/>
      <c r="C174" s="625"/>
      <c r="D174" s="231" t="s">
        <v>639</v>
      </c>
      <c r="E174" s="420" t="s">
        <v>2839</v>
      </c>
      <c r="F174" s="275" t="s">
        <v>2840</v>
      </c>
      <c r="G174" s="354" t="s">
        <v>2841</v>
      </c>
      <c r="H174" s="500" t="s">
        <v>2842</v>
      </c>
      <c r="I174" s="44" t="s">
        <v>187</v>
      </c>
      <c r="J174" s="239"/>
      <c r="K174" s="632"/>
      <c r="L174" s="572"/>
    </row>
    <row r="175" spans="1:12" ht="15" customHeight="1">
      <c r="A175" s="268"/>
      <c r="B175" s="269"/>
      <c r="C175" s="269"/>
      <c r="D175" s="269"/>
      <c r="E175" s="421"/>
      <c r="F175" s="387"/>
      <c r="G175" s="269"/>
      <c r="H175" s="269"/>
      <c r="I175" s="269"/>
      <c r="J175" s="269"/>
      <c r="K175" s="269"/>
      <c r="L175" s="269"/>
    </row>
    <row r="176" spans="1:12" ht="15" customHeight="1">
      <c r="A176" s="619" t="s">
        <v>149</v>
      </c>
      <c r="B176" s="621" t="s">
        <v>2843</v>
      </c>
      <c r="C176" s="622" t="s">
        <v>183</v>
      </c>
      <c r="D176" s="231" t="s">
        <v>184</v>
      </c>
      <c r="E176" s="422" t="s">
        <v>185</v>
      </c>
      <c r="F176" s="276" t="s">
        <v>2844</v>
      </c>
      <c r="G176" s="353" t="s">
        <v>2845</v>
      </c>
      <c r="H176" s="495" t="s">
        <v>2846</v>
      </c>
      <c r="I176">
        <v>1</v>
      </c>
      <c r="J176" s="239"/>
      <c r="K176" s="579" t="s">
        <v>2847</v>
      </c>
      <c r="L176" s="572" t="str">
        <f>VLOOKUP(A176,Geral!A:G,7,0)</f>
        <v>2024.3 AC</v>
      </c>
    </row>
    <row r="177" spans="1:12" ht="15" customHeight="1">
      <c r="A177" s="620"/>
      <c r="B177" s="555"/>
      <c r="C177" s="623"/>
      <c r="D177" s="231" t="s">
        <v>190</v>
      </c>
      <c r="E177" s="423" t="s">
        <v>2848</v>
      </c>
      <c r="F177" s="277" t="s">
        <v>2849</v>
      </c>
      <c r="G177" s="355" t="s">
        <v>2850</v>
      </c>
      <c r="H177" s="495" t="s">
        <v>2851</v>
      </c>
      <c r="I177">
        <v>1</v>
      </c>
      <c r="J177" s="239"/>
      <c r="K177" s="579"/>
      <c r="L177" s="572"/>
    </row>
    <row r="178" spans="1:12" ht="15" customHeight="1">
      <c r="A178" s="620"/>
      <c r="B178" s="555"/>
      <c r="C178" s="270" t="s">
        <v>223</v>
      </c>
      <c r="D178" s="281" t="s">
        <v>195</v>
      </c>
      <c r="E178" s="423" t="s">
        <v>2852</v>
      </c>
      <c r="F178" s="277" t="s">
        <v>2853</v>
      </c>
      <c r="G178" s="355" t="s">
        <v>2854</v>
      </c>
      <c r="H178" s="498" t="s">
        <v>2855</v>
      </c>
      <c r="I178">
        <v>1</v>
      </c>
      <c r="J178" s="239"/>
      <c r="K178" s="579"/>
      <c r="L178" s="572"/>
    </row>
    <row r="179" spans="1:12" ht="15" customHeight="1">
      <c r="A179" s="620"/>
      <c r="B179" s="555"/>
      <c r="C179" s="270" t="s">
        <v>194</v>
      </c>
      <c r="D179" s="282" t="s">
        <v>199</v>
      </c>
      <c r="E179" s="423" t="s">
        <v>2856</v>
      </c>
      <c r="F179" s="277" t="s">
        <v>2857</v>
      </c>
      <c r="G179" s="355" t="s">
        <v>2858</v>
      </c>
      <c r="H179" s="500" t="s">
        <v>2859</v>
      </c>
      <c r="I179">
        <v>1</v>
      </c>
      <c r="J179" s="239"/>
      <c r="K179" s="579"/>
      <c r="L179" s="572"/>
    </row>
    <row r="180" spans="1:12" ht="15" customHeight="1">
      <c r="A180" s="620"/>
      <c r="B180" s="555"/>
      <c r="C180" s="270" t="s">
        <v>203</v>
      </c>
      <c r="D180" s="234" t="s">
        <v>204</v>
      </c>
      <c r="E180" s="423" t="s">
        <v>2860</v>
      </c>
      <c r="F180" s="277" t="s">
        <v>2861</v>
      </c>
      <c r="G180" s="355" t="s">
        <v>2862</v>
      </c>
      <c r="H180" s="495" t="s">
        <v>2863</v>
      </c>
      <c r="I180">
        <v>1</v>
      </c>
      <c r="J180" s="239"/>
      <c r="K180" s="579"/>
      <c r="L180" s="572"/>
    </row>
    <row r="181" spans="1:12" ht="15" customHeight="1">
      <c r="A181" s="620"/>
      <c r="B181" s="555"/>
      <c r="C181" s="270" t="s">
        <v>233</v>
      </c>
      <c r="D181" s="282" t="s">
        <v>208</v>
      </c>
      <c r="E181" s="423" t="s">
        <v>2864</v>
      </c>
      <c r="F181" s="277" t="s">
        <v>2865</v>
      </c>
      <c r="G181" s="354" t="s">
        <v>2866</v>
      </c>
      <c r="H181" s="498" t="s">
        <v>2867</v>
      </c>
      <c r="I181">
        <v>1</v>
      </c>
      <c r="J181" s="239"/>
      <c r="K181" s="579"/>
      <c r="L181" s="572"/>
    </row>
    <row r="182" spans="1:12" ht="15" customHeight="1">
      <c r="A182" s="620"/>
      <c r="B182" s="555"/>
      <c r="C182" s="270" t="s">
        <v>212</v>
      </c>
      <c r="D182" s="281" t="s">
        <v>213</v>
      </c>
      <c r="E182" s="424" t="s">
        <v>2868</v>
      </c>
      <c r="F182" s="275" t="s">
        <v>2869</v>
      </c>
      <c r="G182">
        <v>2</v>
      </c>
      <c r="H182" s="500" t="s">
        <v>2870</v>
      </c>
      <c r="I182">
        <v>1</v>
      </c>
      <c r="J182" s="239"/>
      <c r="K182" s="579"/>
      <c r="L182" s="572"/>
    </row>
    <row r="183" spans="1:12" ht="15" customHeight="1">
      <c r="A183" s="268"/>
      <c r="B183" s="269"/>
      <c r="C183" s="269"/>
      <c r="D183" s="269"/>
      <c r="E183" s="421"/>
      <c r="F183" s="387"/>
      <c r="G183" s="269"/>
      <c r="H183" s="269"/>
      <c r="I183" s="269"/>
      <c r="J183" s="269"/>
      <c r="K183" s="269"/>
      <c r="L183" s="269"/>
    </row>
    <row r="184" spans="1:12" s="179" customFormat="1" ht="15" customHeight="1">
      <c r="A184" s="610" t="s">
        <v>156</v>
      </c>
      <c r="B184" s="657" t="str">
        <f>VLOOKUP(A184,Geral!$A$1:$D$50,2,FALSE)</f>
        <v>Educação Mediada por Tecnologias</v>
      </c>
      <c r="C184" s="211" t="s">
        <v>245</v>
      </c>
      <c r="D184" s="182" t="s">
        <v>184</v>
      </c>
      <c r="E184" s="413" t="s">
        <v>2871</v>
      </c>
      <c r="F184" s="184" t="s">
        <v>2872</v>
      </c>
      <c r="G184" s="353" t="s">
        <v>2873</v>
      </c>
      <c r="H184" s="497" t="s">
        <v>2874</v>
      </c>
      <c r="I184" s="178" t="s">
        <v>187</v>
      </c>
      <c r="J184" s="183" t="s">
        <v>187</v>
      </c>
      <c r="K184" s="630" t="str">
        <f>VLOOKUP(A184,Geral!$A$1:$D$50,3,FALSE)</f>
        <v>Raquel Rosan Christino Gitahy</v>
      </c>
      <c r="L184" s="633" t="str">
        <f>VLOOKUP(A184,Geral!A:G,7,0)</f>
        <v>2024.4 AC</v>
      </c>
    </row>
    <row r="185" spans="1:12" s="179" customFormat="1" ht="15" customHeight="1">
      <c r="A185" s="611"/>
      <c r="B185" s="658"/>
      <c r="C185" s="653" t="s">
        <v>256</v>
      </c>
      <c r="D185" s="185" t="s">
        <v>190</v>
      </c>
      <c r="E185" s="425" t="s">
        <v>2875</v>
      </c>
      <c r="F185" s="184" t="s">
        <v>2876</v>
      </c>
      <c r="G185" s="355" t="s">
        <v>2877</v>
      </c>
      <c r="H185" s="497" t="s">
        <v>2878</v>
      </c>
      <c r="I185" s="178" t="s">
        <v>187</v>
      </c>
      <c r="J185" s="183" t="s">
        <v>187</v>
      </c>
      <c r="K185" s="627"/>
      <c r="L185" s="634"/>
    </row>
    <row r="186" spans="1:12" s="179" customFormat="1" ht="15" customHeight="1">
      <c r="A186" s="611"/>
      <c r="B186" s="658"/>
      <c r="C186" s="654"/>
      <c r="D186" s="185" t="s">
        <v>195</v>
      </c>
      <c r="E186" s="413" t="s">
        <v>2879</v>
      </c>
      <c r="F186" s="184" t="s">
        <v>2880</v>
      </c>
      <c r="G186" s="355" t="s">
        <v>2881</v>
      </c>
      <c r="H186" s="497" t="s">
        <v>2882</v>
      </c>
      <c r="I186" s="178" t="s">
        <v>187</v>
      </c>
      <c r="J186" s="183" t="s">
        <v>187</v>
      </c>
      <c r="K186" s="627"/>
      <c r="L186" s="634"/>
    </row>
    <row r="187" spans="1:12" s="179" customFormat="1" ht="15" customHeight="1">
      <c r="A187" s="611"/>
      <c r="B187" s="658"/>
      <c r="C187" s="212" t="s">
        <v>266</v>
      </c>
      <c r="D187" s="182" t="s">
        <v>199</v>
      </c>
      <c r="E187" s="413" t="s">
        <v>2883</v>
      </c>
      <c r="F187" s="184" t="s">
        <v>2884</v>
      </c>
      <c r="G187" s="355" t="s">
        <v>2885</v>
      </c>
      <c r="H187" s="497" t="s">
        <v>2886</v>
      </c>
      <c r="I187" s="178" t="s">
        <v>187</v>
      </c>
      <c r="J187" s="183" t="s">
        <v>187</v>
      </c>
      <c r="K187" s="627"/>
      <c r="L187" s="634"/>
    </row>
    <row r="188" spans="1:12" s="179" customFormat="1" ht="15" customHeight="1">
      <c r="A188" s="611"/>
      <c r="B188" s="658"/>
      <c r="C188" s="655" t="s">
        <v>278</v>
      </c>
      <c r="D188" s="185" t="s">
        <v>204</v>
      </c>
      <c r="E188" s="413" t="s">
        <v>2887</v>
      </c>
      <c r="F188" s="184" t="s">
        <v>2888</v>
      </c>
      <c r="G188" s="355" t="s">
        <v>2889</v>
      </c>
      <c r="H188" s="497" t="s">
        <v>2890</v>
      </c>
      <c r="I188" s="178" t="s">
        <v>187</v>
      </c>
      <c r="J188" s="183" t="s">
        <v>187</v>
      </c>
      <c r="K188" s="627"/>
      <c r="L188" s="634"/>
    </row>
    <row r="189" spans="1:12" s="179" customFormat="1" ht="15" customHeight="1">
      <c r="A189" s="611"/>
      <c r="B189" s="658"/>
      <c r="C189" s="655"/>
      <c r="D189" s="185" t="s">
        <v>208</v>
      </c>
      <c r="E189" s="413" t="s">
        <v>2891</v>
      </c>
      <c r="F189" s="184" t="s">
        <v>2892</v>
      </c>
      <c r="G189" s="355" t="s">
        <v>2893</v>
      </c>
      <c r="H189" s="497" t="s">
        <v>2894</v>
      </c>
      <c r="I189" s="178" t="s">
        <v>187</v>
      </c>
      <c r="J189" s="183" t="s">
        <v>187</v>
      </c>
      <c r="K189" s="627"/>
      <c r="L189" s="634"/>
    </row>
    <row r="190" spans="1:12" s="179" customFormat="1" ht="15" customHeight="1">
      <c r="A190" s="611"/>
      <c r="B190" s="658"/>
      <c r="C190" s="655" t="s">
        <v>291</v>
      </c>
      <c r="D190" s="182" t="s">
        <v>213</v>
      </c>
      <c r="E190" s="413" t="s">
        <v>2895</v>
      </c>
      <c r="F190" s="184" t="s">
        <v>2896</v>
      </c>
      <c r="G190" s="355" t="s">
        <v>2897</v>
      </c>
      <c r="H190" s="497" t="s">
        <v>2898</v>
      </c>
      <c r="I190" s="178" t="s">
        <v>187</v>
      </c>
      <c r="J190" s="183" t="s">
        <v>187</v>
      </c>
      <c r="K190" s="627"/>
      <c r="L190" s="634"/>
    </row>
    <row r="191" spans="1:12" s="179" customFormat="1" ht="15" customHeight="1">
      <c r="A191" s="611"/>
      <c r="B191" s="658"/>
      <c r="C191" s="655"/>
      <c r="D191" s="182" t="s">
        <v>270</v>
      </c>
      <c r="E191" s="413" t="s">
        <v>2899</v>
      </c>
      <c r="F191" s="184" t="s">
        <v>2900</v>
      </c>
      <c r="G191" s="355" t="s">
        <v>2901</v>
      </c>
      <c r="H191" s="497" t="s">
        <v>2902</v>
      </c>
      <c r="I191" s="178" t="s">
        <v>187</v>
      </c>
      <c r="J191" s="183" t="s">
        <v>187</v>
      </c>
      <c r="K191" s="627"/>
      <c r="L191" s="634"/>
    </row>
    <row r="192" spans="1:12" s="179" customFormat="1" ht="15" customHeight="1">
      <c r="A192" s="611"/>
      <c r="B192" s="658"/>
      <c r="C192" s="655" t="s">
        <v>305</v>
      </c>
      <c r="D192" s="185" t="s">
        <v>274</v>
      </c>
      <c r="E192" s="413" t="s">
        <v>2903</v>
      </c>
      <c r="F192" s="184" t="s">
        <v>2904</v>
      </c>
      <c r="G192" s="355" t="s">
        <v>2905</v>
      </c>
      <c r="H192" s="495" t="s">
        <v>2906</v>
      </c>
      <c r="I192" s="178" t="s">
        <v>187</v>
      </c>
      <c r="J192" s="183" t="s">
        <v>187</v>
      </c>
      <c r="K192" s="627"/>
      <c r="L192" s="634"/>
    </row>
    <row r="193" spans="1:12" s="179" customFormat="1" ht="15" customHeight="1">
      <c r="A193" s="611"/>
      <c r="B193" s="658"/>
      <c r="C193" s="655"/>
      <c r="D193" s="185" t="s">
        <v>279</v>
      </c>
      <c r="E193" s="413" t="s">
        <v>2907</v>
      </c>
      <c r="F193" s="184" t="s">
        <v>2908</v>
      </c>
      <c r="G193" s="355" t="s">
        <v>2909</v>
      </c>
      <c r="H193" s="495" t="s">
        <v>2910</v>
      </c>
      <c r="I193" s="178" t="s">
        <v>187</v>
      </c>
      <c r="J193" s="183" t="s">
        <v>187</v>
      </c>
      <c r="K193" s="627"/>
      <c r="L193" s="634"/>
    </row>
    <row r="194" spans="1:12" s="179" customFormat="1" ht="15" customHeight="1">
      <c r="A194" s="611"/>
      <c r="B194" s="658"/>
      <c r="C194" s="655"/>
      <c r="D194" s="185" t="s">
        <v>283</v>
      </c>
      <c r="E194" s="413" t="s">
        <v>2911</v>
      </c>
      <c r="F194" s="184" t="s">
        <v>2912</v>
      </c>
      <c r="G194" s="355" t="s">
        <v>2913</v>
      </c>
      <c r="H194" s="497" t="s">
        <v>2914</v>
      </c>
      <c r="I194" s="178" t="s">
        <v>187</v>
      </c>
      <c r="J194" s="183" t="s">
        <v>187</v>
      </c>
      <c r="K194" s="627"/>
      <c r="L194" s="634"/>
    </row>
    <row r="195" spans="1:12" s="179" customFormat="1" ht="15" customHeight="1">
      <c r="A195" s="611"/>
      <c r="B195" s="658"/>
      <c r="C195" s="656" t="s">
        <v>365</v>
      </c>
      <c r="D195" s="187" t="s">
        <v>287</v>
      </c>
      <c r="E195" s="413" t="s">
        <v>2915</v>
      </c>
      <c r="F195" s="184" t="s">
        <v>2916</v>
      </c>
      <c r="G195" s="355" t="s">
        <v>2917</v>
      </c>
      <c r="H195" s="497" t="s">
        <v>2918</v>
      </c>
      <c r="I195" s="178" t="s">
        <v>187</v>
      </c>
      <c r="J195" s="183" t="s">
        <v>187</v>
      </c>
      <c r="K195" s="627"/>
      <c r="L195" s="634"/>
    </row>
    <row r="196" spans="1:12" s="179" customFormat="1" ht="15" customHeight="1">
      <c r="A196" s="611"/>
      <c r="B196" s="658"/>
      <c r="C196" s="656"/>
      <c r="D196" s="182" t="s">
        <v>292</v>
      </c>
      <c r="E196" s="413" t="s">
        <v>2919</v>
      </c>
      <c r="F196" s="184" t="s">
        <v>2920</v>
      </c>
      <c r="G196" s="354" t="s">
        <v>2921</v>
      </c>
      <c r="H196" s="497" t="s">
        <v>2922</v>
      </c>
      <c r="I196" s="178" t="s">
        <v>187</v>
      </c>
      <c r="J196" s="183" t="s">
        <v>187</v>
      </c>
      <c r="K196" s="627"/>
      <c r="L196" s="634"/>
    </row>
    <row r="197" spans="1:12" s="179" customFormat="1" ht="15" customHeight="1">
      <c r="A197" s="194"/>
      <c r="B197" s="194"/>
      <c r="C197" s="189"/>
      <c r="D197" s="189"/>
      <c r="E197" s="407"/>
      <c r="F197" s="189"/>
      <c r="G197" s="228"/>
      <c r="H197" s="228"/>
      <c r="I197" s="180"/>
      <c r="J197" s="180"/>
      <c r="K197" s="181"/>
      <c r="L197" s="180"/>
    </row>
    <row r="198" spans="1:12" s="179" customFormat="1" ht="15" customHeight="1">
      <c r="A198" s="610" t="s">
        <v>160</v>
      </c>
      <c r="B198" s="657" t="str">
        <f>VLOOKUP(A198,Geral!$A$1:$D$50,2,FALSE)</f>
        <v>Metodologias Ativas de Aprendizagem: Projetos Interdisciplinares</v>
      </c>
      <c r="C198" s="178"/>
      <c r="D198" s="182" t="s">
        <v>184</v>
      </c>
      <c r="E198" s="413" t="s">
        <v>2923</v>
      </c>
      <c r="F198" s="184" t="s">
        <v>2924</v>
      </c>
      <c r="G198" s="184" t="s">
        <v>2925</v>
      </c>
      <c r="H198" s="497" t="s">
        <v>2926</v>
      </c>
      <c r="I198" s="178" t="s">
        <v>187</v>
      </c>
      <c r="J198" s="183" t="s">
        <v>187</v>
      </c>
      <c r="K198" s="630" t="str">
        <f>VLOOKUP(A198,Geral!$A$1:$D$50,3,FALSE)</f>
        <v>Adriana Bauer</v>
      </c>
      <c r="L198" s="633" t="str">
        <f>VLOOKUP(A198,Geral!A:G,7,0)</f>
        <v>2024.4 AC</v>
      </c>
    </row>
    <row r="199" spans="1:12" s="179" customFormat="1" ht="15" customHeight="1">
      <c r="A199" s="611"/>
      <c r="B199" s="658"/>
      <c r="C199" s="178"/>
      <c r="D199" s="185" t="s">
        <v>190</v>
      </c>
      <c r="E199" s="413" t="s">
        <v>2927</v>
      </c>
      <c r="F199" s="184" t="s">
        <v>2928</v>
      </c>
      <c r="G199" s="184" t="s">
        <v>2929</v>
      </c>
      <c r="H199" s="497" t="s">
        <v>2930</v>
      </c>
      <c r="I199" s="178" t="s">
        <v>187</v>
      </c>
      <c r="J199" s="183" t="s">
        <v>187</v>
      </c>
      <c r="K199" s="627"/>
      <c r="L199" s="634"/>
    </row>
    <row r="200" spans="1:12" s="179" customFormat="1" ht="15" customHeight="1">
      <c r="A200" s="611"/>
      <c r="B200" s="658"/>
      <c r="C200" s="178"/>
      <c r="D200" s="185" t="s">
        <v>195</v>
      </c>
      <c r="E200" s="413" t="s">
        <v>2931</v>
      </c>
      <c r="F200" s="184" t="s">
        <v>2932</v>
      </c>
      <c r="G200" s="184" t="s">
        <v>2933</v>
      </c>
      <c r="H200" s="497" t="s">
        <v>2934</v>
      </c>
      <c r="I200" s="178" t="s">
        <v>187</v>
      </c>
      <c r="J200" s="183" t="s">
        <v>187</v>
      </c>
      <c r="K200" s="627"/>
      <c r="L200" s="634"/>
    </row>
    <row r="201" spans="1:12" s="179" customFormat="1" ht="15" customHeight="1">
      <c r="A201" s="611"/>
      <c r="B201" s="658"/>
      <c r="C201" s="178"/>
      <c r="D201" s="185" t="s">
        <v>199</v>
      </c>
      <c r="E201" s="413" t="s">
        <v>2935</v>
      </c>
      <c r="F201" s="184" t="s">
        <v>2936</v>
      </c>
      <c r="G201" s="184" t="s">
        <v>2937</v>
      </c>
      <c r="H201" s="497" t="s">
        <v>2938</v>
      </c>
      <c r="I201" s="178" t="s">
        <v>187</v>
      </c>
      <c r="J201" s="183" t="s">
        <v>187</v>
      </c>
      <c r="K201" s="627"/>
      <c r="L201" s="634"/>
    </row>
    <row r="202" spans="1:12" s="179" customFormat="1" ht="15" customHeight="1">
      <c r="A202" s="611"/>
      <c r="B202" s="658"/>
      <c r="C202" s="178"/>
      <c r="D202" s="185" t="s">
        <v>204</v>
      </c>
      <c r="E202" s="413" t="s">
        <v>2939</v>
      </c>
      <c r="F202" s="184" t="s">
        <v>2940</v>
      </c>
      <c r="G202" s="96" t="s">
        <v>2941</v>
      </c>
      <c r="H202" s="497" t="s">
        <v>2942</v>
      </c>
      <c r="I202" s="178" t="s">
        <v>187</v>
      </c>
      <c r="J202" s="183" t="s">
        <v>187</v>
      </c>
      <c r="K202" s="627"/>
      <c r="L202" s="634"/>
    </row>
    <row r="203" spans="1:12" s="179" customFormat="1" ht="15" customHeight="1">
      <c r="A203" s="194"/>
      <c r="B203" s="194"/>
      <c r="C203" s="189"/>
      <c r="D203" s="189"/>
      <c r="E203" s="407"/>
      <c r="F203" s="189"/>
      <c r="G203" s="228"/>
      <c r="H203" s="228"/>
      <c r="I203" s="180"/>
      <c r="J203" s="180"/>
      <c r="K203" s="181"/>
      <c r="L203" s="180"/>
    </row>
    <row r="204" spans="1:12" s="179" customFormat="1" ht="15" customHeight="1">
      <c r="A204" s="610" t="s">
        <v>163</v>
      </c>
      <c r="B204" s="657" t="str">
        <f>VLOOKUP(A204,Geral!$A$1:$D$50,2,FALSE)</f>
        <v>Gramática de Língua Portuguesa II</v>
      </c>
      <c r="C204" s="659" t="s">
        <v>245</v>
      </c>
      <c r="D204" s="182" t="s">
        <v>184</v>
      </c>
      <c r="E204" s="413" t="s">
        <v>2943</v>
      </c>
      <c r="F204" s="96" t="s">
        <v>2944</v>
      </c>
      <c r="G204" s="353" t="s">
        <v>2945</v>
      </c>
      <c r="H204" s="353" t="s">
        <v>2946</v>
      </c>
      <c r="I204" s="178" t="s">
        <v>187</v>
      </c>
      <c r="J204" s="183" t="s">
        <v>187</v>
      </c>
      <c r="K204" s="630" t="str">
        <f>VLOOKUP(A204,Geral!$A$1:$D$50,3,FALSE)</f>
        <v>Lúcia Regiane Lopes-Damasio</v>
      </c>
      <c r="L204" s="633" t="str">
        <f>VLOOKUP(A204,Geral!A:G,7,0)</f>
        <v>2024.4 AC</v>
      </c>
    </row>
    <row r="205" spans="1:12" s="179" customFormat="1" ht="15" customHeight="1">
      <c r="A205" s="611"/>
      <c r="B205" s="658"/>
      <c r="C205" s="655"/>
      <c r="D205" s="182" t="s">
        <v>190</v>
      </c>
      <c r="E205" s="413" t="s">
        <v>2947</v>
      </c>
      <c r="F205" s="184" t="s">
        <v>2948</v>
      </c>
      <c r="G205" s="355" t="s">
        <v>2949</v>
      </c>
      <c r="H205" s="355" t="s">
        <v>2950</v>
      </c>
      <c r="I205" s="178" t="s">
        <v>187</v>
      </c>
      <c r="J205" s="183" t="s">
        <v>187</v>
      </c>
      <c r="K205" s="627"/>
      <c r="L205" s="634"/>
    </row>
    <row r="206" spans="1:12" s="179" customFormat="1" ht="15" customHeight="1">
      <c r="A206" s="611"/>
      <c r="B206" s="658"/>
      <c r="C206" s="660"/>
      <c r="D206" s="182" t="s">
        <v>195</v>
      </c>
      <c r="E206" s="413" t="s">
        <v>2951</v>
      </c>
      <c r="F206" s="184" t="s">
        <v>2952</v>
      </c>
      <c r="G206" s="355" t="s">
        <v>2953</v>
      </c>
      <c r="H206" s="355" t="s">
        <v>2954</v>
      </c>
      <c r="I206" s="178" t="s">
        <v>187</v>
      </c>
      <c r="J206" s="183" t="s">
        <v>187</v>
      </c>
      <c r="K206" s="627"/>
      <c r="L206" s="634"/>
    </row>
    <row r="207" spans="1:12" s="179" customFormat="1" ht="15" customHeight="1">
      <c r="A207" s="611"/>
      <c r="B207" s="658"/>
      <c r="C207" s="659" t="s">
        <v>256</v>
      </c>
      <c r="D207" s="185" t="s">
        <v>199</v>
      </c>
      <c r="E207" s="413" t="s">
        <v>2955</v>
      </c>
      <c r="F207" s="184" t="s">
        <v>2956</v>
      </c>
      <c r="G207" s="355" t="s">
        <v>2957</v>
      </c>
      <c r="H207" s="355" t="s">
        <v>2958</v>
      </c>
      <c r="I207" s="178" t="s">
        <v>187</v>
      </c>
      <c r="J207" s="183" t="s">
        <v>187</v>
      </c>
      <c r="K207" s="627"/>
      <c r="L207" s="634"/>
    </row>
    <row r="208" spans="1:12" s="179" customFormat="1" ht="15" customHeight="1">
      <c r="A208" s="611"/>
      <c r="B208" s="658"/>
      <c r="C208" s="655"/>
      <c r="D208" s="185" t="s">
        <v>204</v>
      </c>
      <c r="E208" s="413" t="s">
        <v>2959</v>
      </c>
      <c r="F208" s="184" t="s">
        <v>2960</v>
      </c>
      <c r="G208" s="355" t="s">
        <v>2961</v>
      </c>
      <c r="H208" s="355" t="s">
        <v>2962</v>
      </c>
      <c r="I208" s="178" t="s">
        <v>187</v>
      </c>
      <c r="J208" s="183" t="s">
        <v>187</v>
      </c>
      <c r="K208" s="627"/>
      <c r="L208" s="634"/>
    </row>
    <row r="209" spans="1:12" s="179" customFormat="1" ht="15" customHeight="1">
      <c r="A209" s="611"/>
      <c r="B209" s="658"/>
      <c r="C209" s="655"/>
      <c r="D209" s="185" t="s">
        <v>208</v>
      </c>
      <c r="E209" s="413" t="s">
        <v>2963</v>
      </c>
      <c r="F209" s="184" t="s">
        <v>2964</v>
      </c>
      <c r="G209" s="355" t="s">
        <v>2965</v>
      </c>
      <c r="H209" s="355" t="s">
        <v>2966</v>
      </c>
      <c r="I209" s="178" t="s">
        <v>187</v>
      </c>
      <c r="J209" s="183" t="s">
        <v>187</v>
      </c>
      <c r="K209" s="627"/>
      <c r="L209" s="634"/>
    </row>
    <row r="210" spans="1:12" s="179" customFormat="1" ht="15" customHeight="1">
      <c r="A210" s="611"/>
      <c r="B210" s="658"/>
      <c r="C210" s="655" t="s">
        <v>266</v>
      </c>
      <c r="D210" s="188" t="s">
        <v>213</v>
      </c>
      <c r="E210" s="413" t="s">
        <v>2967</v>
      </c>
      <c r="F210" s="184" t="s">
        <v>2968</v>
      </c>
      <c r="G210" s="355" t="s">
        <v>2969</v>
      </c>
      <c r="H210" s="355" t="s">
        <v>2970</v>
      </c>
      <c r="I210" s="178" t="s">
        <v>187</v>
      </c>
      <c r="J210" s="183" t="s">
        <v>187</v>
      </c>
      <c r="K210" s="627"/>
      <c r="L210" s="634"/>
    </row>
    <row r="211" spans="1:12" s="179" customFormat="1" ht="15" customHeight="1">
      <c r="A211" s="611"/>
      <c r="B211" s="658"/>
      <c r="C211" s="655"/>
      <c r="D211" s="182" t="s">
        <v>270</v>
      </c>
      <c r="E211" s="413" t="s">
        <v>2971</v>
      </c>
      <c r="F211" s="184" t="s">
        <v>2972</v>
      </c>
      <c r="G211" s="355" t="s">
        <v>2973</v>
      </c>
      <c r="H211" s="355" t="s">
        <v>2974</v>
      </c>
      <c r="I211" s="178" t="s">
        <v>187</v>
      </c>
      <c r="J211" s="183" t="s">
        <v>187</v>
      </c>
      <c r="K211" s="627"/>
      <c r="L211" s="634"/>
    </row>
    <row r="212" spans="1:12" s="179" customFormat="1" ht="15" customHeight="1">
      <c r="A212" s="611"/>
      <c r="B212" s="658"/>
      <c r="C212" s="655"/>
      <c r="D212" s="182" t="s">
        <v>274</v>
      </c>
      <c r="E212" s="413" t="s">
        <v>2975</v>
      </c>
      <c r="F212" s="184" t="s">
        <v>2976</v>
      </c>
      <c r="G212" s="355" t="s">
        <v>2977</v>
      </c>
      <c r="H212" s="355" t="s">
        <v>2978</v>
      </c>
      <c r="I212" s="178" t="s">
        <v>187</v>
      </c>
      <c r="J212" s="183" t="s">
        <v>187</v>
      </c>
      <c r="K212" s="627"/>
      <c r="L212" s="634"/>
    </row>
    <row r="213" spans="1:12" s="179" customFormat="1" ht="15" customHeight="1">
      <c r="A213" s="611"/>
      <c r="B213" s="658"/>
      <c r="C213" s="655" t="s">
        <v>278</v>
      </c>
      <c r="D213" s="185" t="s">
        <v>279</v>
      </c>
      <c r="E213" s="413" t="s">
        <v>2979</v>
      </c>
      <c r="F213" s="184" t="s">
        <v>2980</v>
      </c>
      <c r="G213" s="355" t="s">
        <v>2981</v>
      </c>
      <c r="H213" s="355" t="s">
        <v>2982</v>
      </c>
      <c r="I213" s="178" t="s">
        <v>187</v>
      </c>
      <c r="J213" s="183" t="s">
        <v>187</v>
      </c>
      <c r="K213" s="627"/>
      <c r="L213" s="634"/>
    </row>
    <row r="214" spans="1:12" s="179" customFormat="1" ht="15" customHeight="1">
      <c r="A214" s="611"/>
      <c r="B214" s="658"/>
      <c r="C214" s="655"/>
      <c r="D214" s="185" t="s">
        <v>283</v>
      </c>
      <c r="E214" s="413" t="s">
        <v>2983</v>
      </c>
      <c r="F214" s="184" t="s">
        <v>2984</v>
      </c>
      <c r="G214" s="355" t="s">
        <v>2985</v>
      </c>
      <c r="H214" s="355" t="s">
        <v>2986</v>
      </c>
      <c r="I214" s="178" t="s">
        <v>187</v>
      </c>
      <c r="J214" s="183" t="s">
        <v>187</v>
      </c>
      <c r="K214" s="627"/>
      <c r="L214" s="634"/>
    </row>
    <row r="215" spans="1:12" s="179" customFormat="1" ht="15" customHeight="1">
      <c r="A215" s="611"/>
      <c r="B215" s="658"/>
      <c r="C215" s="655"/>
      <c r="D215" s="186" t="s">
        <v>287</v>
      </c>
      <c r="E215" s="413" t="s">
        <v>2987</v>
      </c>
      <c r="F215" s="184" t="s">
        <v>2988</v>
      </c>
      <c r="G215" s="355" t="s">
        <v>2989</v>
      </c>
      <c r="H215" s="355" t="s">
        <v>2990</v>
      </c>
      <c r="I215" s="178" t="s">
        <v>187</v>
      </c>
      <c r="J215" s="183" t="s">
        <v>187</v>
      </c>
      <c r="K215" s="627"/>
      <c r="L215" s="634"/>
    </row>
    <row r="216" spans="1:12" s="179" customFormat="1" ht="15" customHeight="1">
      <c r="A216" s="611"/>
      <c r="B216" s="658"/>
      <c r="C216" s="655" t="s">
        <v>291</v>
      </c>
      <c r="D216" s="182" t="s">
        <v>292</v>
      </c>
      <c r="E216" s="413" t="s">
        <v>2991</v>
      </c>
      <c r="F216" s="184" t="s">
        <v>2992</v>
      </c>
      <c r="G216" s="355" t="s">
        <v>2993</v>
      </c>
      <c r="H216" s="355" t="s">
        <v>2994</v>
      </c>
      <c r="I216" s="178" t="s">
        <v>187</v>
      </c>
      <c r="J216" s="183" t="s">
        <v>187</v>
      </c>
      <c r="K216" s="627"/>
      <c r="L216" s="634"/>
    </row>
    <row r="217" spans="1:12" s="179" customFormat="1" ht="15" customHeight="1">
      <c r="A217" s="611"/>
      <c r="B217" s="658"/>
      <c r="C217" s="655"/>
      <c r="D217" s="182" t="s">
        <v>297</v>
      </c>
      <c r="E217" s="413" t="s">
        <v>2995</v>
      </c>
      <c r="F217" s="184" t="s">
        <v>2996</v>
      </c>
      <c r="G217" s="355" t="s">
        <v>2997</v>
      </c>
      <c r="H217" s="355" t="s">
        <v>2998</v>
      </c>
      <c r="I217" s="178" t="s">
        <v>187</v>
      </c>
      <c r="J217" s="183" t="s">
        <v>187</v>
      </c>
      <c r="K217" s="627"/>
      <c r="L217" s="634"/>
    </row>
    <row r="218" spans="1:12" s="179" customFormat="1" ht="15" customHeight="1">
      <c r="A218" s="611"/>
      <c r="B218" s="658"/>
      <c r="C218" s="655" t="s">
        <v>305</v>
      </c>
      <c r="D218" s="185" t="s">
        <v>301</v>
      </c>
      <c r="E218" s="413" t="s">
        <v>2999</v>
      </c>
      <c r="F218" s="184" t="s">
        <v>3000</v>
      </c>
      <c r="G218" s="503" t="s">
        <v>3001</v>
      </c>
      <c r="H218" s="355" t="s">
        <v>3002</v>
      </c>
      <c r="I218" s="178" t="s">
        <v>187</v>
      </c>
      <c r="J218" s="183" t="s">
        <v>187</v>
      </c>
      <c r="K218" s="627"/>
      <c r="L218" s="634"/>
    </row>
    <row r="219" spans="1:12" s="179" customFormat="1" ht="15" customHeight="1">
      <c r="A219" s="611"/>
      <c r="B219" s="658"/>
      <c r="C219" s="655"/>
      <c r="D219" s="185" t="s">
        <v>306</v>
      </c>
      <c r="E219" s="413" t="s">
        <v>3003</v>
      </c>
      <c r="F219" s="184" t="s">
        <v>3004</v>
      </c>
      <c r="G219" s="355" t="s">
        <v>3005</v>
      </c>
      <c r="H219" s="355" t="s">
        <v>3006</v>
      </c>
      <c r="I219" s="178" t="s">
        <v>187</v>
      </c>
      <c r="J219" s="183" t="s">
        <v>187</v>
      </c>
      <c r="K219" s="627"/>
      <c r="L219" s="634"/>
    </row>
    <row r="220" spans="1:12" s="179" customFormat="1" ht="15" customHeight="1">
      <c r="A220" s="611"/>
      <c r="B220" s="658"/>
      <c r="C220" s="655"/>
      <c r="D220" s="185" t="s">
        <v>425</v>
      </c>
      <c r="E220" s="413" t="s">
        <v>3007</v>
      </c>
      <c r="F220" s="184" t="s">
        <v>3008</v>
      </c>
      <c r="G220" s="355" t="s">
        <v>3009</v>
      </c>
      <c r="H220" s="355" t="s">
        <v>3010</v>
      </c>
      <c r="I220" s="178" t="s">
        <v>187</v>
      </c>
      <c r="J220" s="183" t="s">
        <v>187</v>
      </c>
      <c r="K220" s="627"/>
      <c r="L220" s="634"/>
    </row>
    <row r="221" spans="1:12" s="179" customFormat="1" ht="15" customHeight="1">
      <c r="A221" s="611"/>
      <c r="B221" s="658"/>
      <c r="C221" s="655" t="s">
        <v>365</v>
      </c>
      <c r="D221" s="182" t="s">
        <v>429</v>
      </c>
      <c r="E221" s="413" t="s">
        <v>3011</v>
      </c>
      <c r="F221" s="184" t="s">
        <v>3012</v>
      </c>
      <c r="G221" s="355" t="s">
        <v>3013</v>
      </c>
      <c r="H221" s="355" t="s">
        <v>3014</v>
      </c>
      <c r="I221" s="178" t="s">
        <v>187</v>
      </c>
      <c r="J221" s="183" t="s">
        <v>187</v>
      </c>
      <c r="K221" s="627"/>
      <c r="L221" s="634"/>
    </row>
    <row r="222" spans="1:12" s="179" customFormat="1" ht="15" customHeight="1">
      <c r="A222" s="611"/>
      <c r="B222" s="658"/>
      <c r="C222" s="655"/>
      <c r="D222" s="182" t="s">
        <v>433</v>
      </c>
      <c r="E222" s="413" t="s">
        <v>3015</v>
      </c>
      <c r="F222" s="184" t="s">
        <v>3016</v>
      </c>
      <c r="G222" s="503" t="s">
        <v>3017</v>
      </c>
      <c r="H222" s="355" t="s">
        <v>3018</v>
      </c>
      <c r="I222" s="178" t="s">
        <v>187</v>
      </c>
      <c r="J222" s="183" t="s">
        <v>187</v>
      </c>
      <c r="K222" s="627"/>
      <c r="L222" s="634"/>
    </row>
    <row r="223" spans="1:12" s="179" customFormat="1" ht="15" customHeight="1">
      <c r="A223" s="611"/>
      <c r="B223" s="658"/>
      <c r="C223" s="655"/>
      <c r="D223" s="182" t="s">
        <v>437</v>
      </c>
      <c r="E223" s="413" t="s">
        <v>3019</v>
      </c>
      <c r="F223" s="184" t="s">
        <v>3020</v>
      </c>
      <c r="G223" s="355" t="s">
        <v>3021</v>
      </c>
      <c r="H223" s="355" t="s">
        <v>3022</v>
      </c>
      <c r="I223" s="178" t="s">
        <v>187</v>
      </c>
      <c r="J223" s="183" t="s">
        <v>187</v>
      </c>
      <c r="K223" s="627"/>
      <c r="L223" s="634"/>
    </row>
    <row r="224" spans="1:12" s="179" customFormat="1" ht="15" customHeight="1">
      <c r="A224" s="611"/>
      <c r="B224" s="658"/>
      <c r="C224" s="204" t="s">
        <v>1351</v>
      </c>
      <c r="D224" s="185" t="s">
        <v>639</v>
      </c>
      <c r="E224" s="426" t="s">
        <v>3023</v>
      </c>
      <c r="F224" s="184" t="s">
        <v>3024</v>
      </c>
      <c r="G224" s="354" t="s">
        <v>3025</v>
      </c>
      <c r="H224" s="354" t="s">
        <v>3026</v>
      </c>
      <c r="I224" s="178" t="s">
        <v>187</v>
      </c>
      <c r="J224" s="183" t="s">
        <v>187</v>
      </c>
      <c r="K224" s="627"/>
      <c r="L224" s="634"/>
    </row>
    <row r="225" spans="1:12" ht="15" customHeight="1">
      <c r="A225" s="194"/>
      <c r="B225" s="194"/>
      <c r="C225" s="189"/>
      <c r="D225" s="189"/>
      <c r="E225" s="407"/>
      <c r="F225" s="189"/>
      <c r="G225" s="228"/>
      <c r="H225" s="228"/>
      <c r="I225" s="180"/>
      <c r="J225" s="180"/>
      <c r="K225" s="192"/>
      <c r="L225" s="180"/>
    </row>
    <row r="226" spans="1:12" ht="15" customHeight="1">
      <c r="A226" s="664" t="s">
        <v>151</v>
      </c>
      <c r="B226" s="667" t="s">
        <v>3027</v>
      </c>
      <c r="C226" s="670" t="s">
        <v>245</v>
      </c>
      <c r="D226" s="182" t="s">
        <v>2266</v>
      </c>
      <c r="E226" s="426" t="s">
        <v>443</v>
      </c>
      <c r="F226" s="184" t="s">
        <v>3028</v>
      </c>
      <c r="G226" s="184" t="s">
        <v>3029</v>
      </c>
      <c r="H226" s="498" t="s">
        <v>3030</v>
      </c>
      <c r="I226" s="399"/>
      <c r="L226" s="589" t="str">
        <f>VLOOKUP(A226,Geral!A:G,7,0)</f>
        <v>2024.3 AC</v>
      </c>
    </row>
    <row r="227" spans="1:12" ht="15" customHeight="1">
      <c r="A227" s="665"/>
      <c r="B227" s="668"/>
      <c r="C227" s="671"/>
      <c r="D227" s="182" t="s">
        <v>184</v>
      </c>
      <c r="E227" s="426" t="s">
        <v>3031</v>
      </c>
      <c r="F227" s="184" t="s">
        <v>3032</v>
      </c>
      <c r="G227" s="184" t="s">
        <v>3033</v>
      </c>
      <c r="H227" s="499" t="s">
        <v>3034</v>
      </c>
      <c r="I227" s="399"/>
      <c r="L227" s="572"/>
    </row>
    <row r="228" spans="1:12" ht="15" customHeight="1">
      <c r="A228" s="665"/>
      <c r="B228" s="668"/>
      <c r="C228" s="672"/>
      <c r="D228" s="182" t="s">
        <v>190</v>
      </c>
      <c r="E228" s="426" t="s">
        <v>3035</v>
      </c>
      <c r="F228" s="184" t="s">
        <v>3036</v>
      </c>
      <c r="G228" s="184" t="s">
        <v>3037</v>
      </c>
      <c r="H228" s="499" t="s">
        <v>3038</v>
      </c>
      <c r="I228" s="399"/>
      <c r="L228" s="572"/>
    </row>
    <row r="229" spans="1:12" ht="15" customHeight="1">
      <c r="A229" s="665"/>
      <c r="B229" s="668"/>
      <c r="C229" s="661" t="s">
        <v>256</v>
      </c>
      <c r="D229" s="182" t="s">
        <v>2283</v>
      </c>
      <c r="E229" s="426" t="s">
        <v>447</v>
      </c>
      <c r="F229" s="184" t="s">
        <v>3039</v>
      </c>
      <c r="G229" s="184" t="s">
        <v>3040</v>
      </c>
      <c r="H229" s="499" t="s">
        <v>3041</v>
      </c>
      <c r="I229" s="399"/>
      <c r="L229" s="572"/>
    </row>
    <row r="230" spans="1:12" ht="15" customHeight="1">
      <c r="A230" s="665"/>
      <c r="B230" s="668"/>
      <c r="C230" s="671"/>
      <c r="D230" s="182" t="s">
        <v>195</v>
      </c>
      <c r="E230" s="426" t="s">
        <v>3042</v>
      </c>
      <c r="F230" s="184" t="s">
        <v>3043</v>
      </c>
      <c r="G230" s="184" t="s">
        <v>3044</v>
      </c>
      <c r="H230" s="499" t="s">
        <v>3045</v>
      </c>
      <c r="I230" s="399"/>
      <c r="L230" s="572"/>
    </row>
    <row r="231" spans="1:12" ht="15" customHeight="1">
      <c r="A231" s="665"/>
      <c r="B231" s="668"/>
      <c r="C231" s="672"/>
      <c r="D231" s="182" t="s">
        <v>199</v>
      </c>
      <c r="E231" s="426" t="s">
        <v>3046</v>
      </c>
      <c r="F231" s="184" t="s">
        <v>3047</v>
      </c>
      <c r="G231" s="184" t="s">
        <v>3048</v>
      </c>
      <c r="H231" s="499" t="s">
        <v>3049</v>
      </c>
      <c r="I231" s="399"/>
      <c r="L231" s="572"/>
    </row>
    <row r="232" spans="1:12" ht="15" customHeight="1">
      <c r="A232" s="665"/>
      <c r="B232" s="668"/>
      <c r="C232" s="661" t="s">
        <v>266</v>
      </c>
      <c r="D232" s="182" t="s">
        <v>204</v>
      </c>
      <c r="E232" s="426" t="s">
        <v>3050</v>
      </c>
      <c r="F232" s="184" t="s">
        <v>3051</v>
      </c>
      <c r="G232" s="184" t="s">
        <v>3052</v>
      </c>
      <c r="H232" s="499" t="s">
        <v>3053</v>
      </c>
      <c r="I232" s="399"/>
      <c r="L232" s="572"/>
    </row>
    <row r="233" spans="1:12" ht="15" customHeight="1">
      <c r="A233" s="665"/>
      <c r="B233" s="668"/>
      <c r="C233" s="672"/>
      <c r="D233" s="182" t="s">
        <v>208</v>
      </c>
      <c r="E233" s="426" t="s">
        <v>3054</v>
      </c>
      <c r="F233" s="184" t="s">
        <v>3055</v>
      </c>
      <c r="G233" s="184" t="s">
        <v>3056</v>
      </c>
      <c r="H233" s="499" t="s">
        <v>3057</v>
      </c>
      <c r="I233" s="399"/>
      <c r="L233" s="572"/>
    </row>
    <row r="234" spans="1:12" ht="15" customHeight="1">
      <c r="A234" s="665"/>
      <c r="B234" s="668"/>
      <c r="C234" s="661" t="s">
        <v>278</v>
      </c>
      <c r="D234" s="182" t="s">
        <v>213</v>
      </c>
      <c r="E234" s="426" t="s">
        <v>3058</v>
      </c>
      <c r="F234" s="184" t="s">
        <v>3059</v>
      </c>
      <c r="G234" s="184" t="s">
        <v>3060</v>
      </c>
      <c r="H234" s="499" t="s">
        <v>3061</v>
      </c>
      <c r="I234" s="399"/>
      <c r="L234" s="572"/>
    </row>
    <row r="235" spans="1:12" ht="15" customHeight="1">
      <c r="A235" s="665"/>
      <c r="B235" s="668"/>
      <c r="C235" s="672"/>
      <c r="D235" s="182" t="s">
        <v>270</v>
      </c>
      <c r="E235" s="426" t="s">
        <v>3062</v>
      </c>
      <c r="F235" s="184" t="s">
        <v>3063</v>
      </c>
      <c r="G235" s="184" t="s">
        <v>3064</v>
      </c>
      <c r="H235" s="499" t="s">
        <v>3065</v>
      </c>
      <c r="I235" s="399"/>
      <c r="L235" s="572"/>
    </row>
    <row r="236" spans="1:12" ht="15" customHeight="1">
      <c r="A236" s="665"/>
      <c r="B236" s="668"/>
      <c r="C236" s="661" t="s">
        <v>291</v>
      </c>
      <c r="D236" s="182" t="s">
        <v>274</v>
      </c>
      <c r="E236" s="426" t="s">
        <v>3066</v>
      </c>
      <c r="F236" s="184" t="s">
        <v>3067</v>
      </c>
      <c r="G236" s="184" t="s">
        <v>3068</v>
      </c>
      <c r="H236" s="499" t="s">
        <v>3069</v>
      </c>
      <c r="I236" s="399"/>
      <c r="L236" s="572"/>
    </row>
    <row r="237" spans="1:12" ht="15" customHeight="1">
      <c r="A237" s="665"/>
      <c r="B237" s="668"/>
      <c r="C237" s="672"/>
      <c r="D237" s="182" t="s">
        <v>279</v>
      </c>
      <c r="E237" s="426" t="s">
        <v>3070</v>
      </c>
      <c r="F237" s="184" t="s">
        <v>3071</v>
      </c>
      <c r="G237" s="184" t="s">
        <v>3072</v>
      </c>
      <c r="H237" s="499" t="s">
        <v>3073</v>
      </c>
      <c r="I237" s="399"/>
      <c r="L237" s="572"/>
    </row>
    <row r="238" spans="1:12" ht="15" customHeight="1">
      <c r="A238" s="665"/>
      <c r="B238" s="668"/>
      <c r="C238" s="661" t="s">
        <v>305</v>
      </c>
      <c r="D238" s="182" t="s">
        <v>283</v>
      </c>
      <c r="E238" s="426" t="s">
        <v>3074</v>
      </c>
      <c r="F238" s="184" t="s">
        <v>3075</v>
      </c>
      <c r="G238" s="184" t="s">
        <v>3076</v>
      </c>
      <c r="H238" s="499" t="s">
        <v>3077</v>
      </c>
      <c r="I238" s="399"/>
      <c r="L238" s="572"/>
    </row>
    <row r="239" spans="1:12" ht="15" customHeight="1">
      <c r="A239" s="665"/>
      <c r="B239" s="668"/>
      <c r="C239" s="672"/>
      <c r="D239" s="182" t="s">
        <v>287</v>
      </c>
      <c r="E239" s="426" t="s">
        <v>3078</v>
      </c>
      <c r="F239" s="184" t="s">
        <v>3079</v>
      </c>
      <c r="G239" s="184" t="s">
        <v>3080</v>
      </c>
      <c r="H239" s="499" t="s">
        <v>3081</v>
      </c>
      <c r="I239" s="399"/>
      <c r="L239" s="572"/>
    </row>
    <row r="240" spans="1:12" ht="15" customHeight="1">
      <c r="A240" s="665"/>
      <c r="B240" s="668"/>
      <c r="C240" s="661" t="s">
        <v>365</v>
      </c>
      <c r="D240" s="182" t="s">
        <v>292</v>
      </c>
      <c r="E240" s="426" t="s">
        <v>3082</v>
      </c>
      <c r="F240" s="184" t="s">
        <v>3083</v>
      </c>
      <c r="G240" s="184" t="s">
        <v>3084</v>
      </c>
      <c r="H240" s="499" t="s">
        <v>3085</v>
      </c>
      <c r="I240" s="399"/>
      <c r="L240" s="572"/>
    </row>
    <row r="241" spans="1:12" ht="15" customHeight="1">
      <c r="A241" s="665"/>
      <c r="B241" s="668"/>
      <c r="C241" s="671"/>
      <c r="D241" s="182" t="s">
        <v>297</v>
      </c>
      <c r="E241" s="426" t="s">
        <v>3086</v>
      </c>
      <c r="F241" s="184" t="s">
        <v>3087</v>
      </c>
      <c r="G241" s="184" t="s">
        <v>3088</v>
      </c>
      <c r="H241" s="502"/>
      <c r="I241" s="399"/>
      <c r="L241" s="572"/>
    </row>
    <row r="242" spans="1:12" ht="15" customHeight="1">
      <c r="A242" s="666"/>
      <c r="B242" s="669"/>
      <c r="C242" s="663"/>
      <c r="D242" s="182" t="s">
        <v>301</v>
      </c>
      <c r="E242" s="426" t="s">
        <v>3089</v>
      </c>
      <c r="F242" s="184" t="s">
        <v>3090</v>
      </c>
      <c r="G242" s="184" t="s">
        <v>3091</v>
      </c>
      <c r="H242" s="500" t="s">
        <v>3092</v>
      </c>
      <c r="I242" s="399"/>
      <c r="L242" s="572"/>
    </row>
    <row r="243" spans="1:12" ht="15" customHeight="1">
      <c r="A243" s="194"/>
      <c r="B243" s="194"/>
      <c r="C243" s="189"/>
      <c r="D243" s="189"/>
      <c r="E243" s="407"/>
      <c r="F243" s="189"/>
      <c r="G243" s="228"/>
      <c r="H243" s="228"/>
      <c r="I243" s="180"/>
      <c r="J243" s="180"/>
      <c r="K243" s="192"/>
      <c r="L243" s="180"/>
    </row>
    <row r="244" spans="1:12" ht="15" customHeight="1">
      <c r="A244" s="694" t="s">
        <v>154</v>
      </c>
      <c r="B244" s="641" t="s">
        <v>3093</v>
      </c>
      <c r="C244" s="670" t="s">
        <v>245</v>
      </c>
      <c r="D244" s="356" t="s">
        <v>184</v>
      </c>
      <c r="E244" s="427" t="s">
        <v>3094</v>
      </c>
      <c r="F244" s="184" t="s">
        <v>3095</v>
      </c>
      <c r="G244" s="184" t="s">
        <v>3096</v>
      </c>
      <c r="H244" s="497" t="s">
        <v>3097</v>
      </c>
      <c r="I244" s="399"/>
      <c r="J244" t="s">
        <v>187</v>
      </c>
      <c r="L244" s="589" t="str">
        <f>VLOOKUP(A244,Geral!A:G,7,0)</f>
        <v>2024.3 AC</v>
      </c>
    </row>
    <row r="245" spans="1:12" ht="15" customHeight="1">
      <c r="A245" s="695"/>
      <c r="B245" s="642"/>
      <c r="C245" s="662"/>
      <c r="D245" s="357" t="s">
        <v>190</v>
      </c>
      <c r="E245" s="428" t="s">
        <v>3098</v>
      </c>
      <c r="F245" s="184" t="s">
        <v>3099</v>
      </c>
      <c r="G245" s="184" t="s">
        <v>3100</v>
      </c>
      <c r="H245" s="497" t="s">
        <v>3101</v>
      </c>
      <c r="I245" s="399"/>
      <c r="J245" t="s">
        <v>187</v>
      </c>
      <c r="L245" s="572"/>
    </row>
    <row r="246" spans="1:12" ht="15" customHeight="1">
      <c r="A246" s="695"/>
      <c r="B246" s="642"/>
      <c r="C246" s="661" t="s">
        <v>256</v>
      </c>
      <c r="D246" s="357" t="s">
        <v>195</v>
      </c>
      <c r="E246" s="428" t="s">
        <v>3102</v>
      </c>
      <c r="F246" s="184" t="s">
        <v>3103</v>
      </c>
      <c r="G246" s="184" t="s">
        <v>3104</v>
      </c>
      <c r="H246" s="497" t="s">
        <v>3105</v>
      </c>
      <c r="I246" s="399"/>
      <c r="J246" t="s">
        <v>187</v>
      </c>
      <c r="L246" s="572"/>
    </row>
    <row r="247" spans="1:12" ht="15" customHeight="1">
      <c r="A247" s="695"/>
      <c r="B247" s="642"/>
      <c r="C247" s="662"/>
      <c r="D247" s="357" t="s">
        <v>199</v>
      </c>
      <c r="E247" s="428" t="s">
        <v>3106</v>
      </c>
      <c r="F247" s="184" t="s">
        <v>3107</v>
      </c>
      <c r="G247" s="184" t="s">
        <v>3108</v>
      </c>
      <c r="H247" s="497" t="s">
        <v>3109</v>
      </c>
      <c r="I247" s="399"/>
      <c r="J247" t="s">
        <v>187</v>
      </c>
      <c r="L247" s="572"/>
    </row>
    <row r="248" spans="1:12" ht="15" customHeight="1">
      <c r="A248" s="695"/>
      <c r="B248" s="642"/>
      <c r="C248" s="661" t="s">
        <v>266</v>
      </c>
      <c r="D248" s="357" t="s">
        <v>204</v>
      </c>
      <c r="E248" s="428" t="s">
        <v>3110</v>
      </c>
      <c r="F248" s="184" t="s">
        <v>3111</v>
      </c>
      <c r="G248" s="184" t="s">
        <v>3112</v>
      </c>
      <c r="H248" s="497" t="s">
        <v>3113</v>
      </c>
      <c r="I248" s="399"/>
      <c r="J248" t="s">
        <v>187</v>
      </c>
      <c r="L248" s="572"/>
    </row>
    <row r="249" spans="1:12" ht="15" customHeight="1">
      <c r="A249" s="695"/>
      <c r="B249" s="642"/>
      <c r="C249" s="662"/>
      <c r="D249" s="357" t="s">
        <v>208</v>
      </c>
      <c r="E249" s="428" t="s">
        <v>3114</v>
      </c>
      <c r="F249" s="184" t="s">
        <v>3115</v>
      </c>
      <c r="G249" s="184" t="s">
        <v>3116</v>
      </c>
      <c r="H249" s="497" t="s">
        <v>3117</v>
      </c>
      <c r="I249" s="399"/>
      <c r="J249" t="s">
        <v>187</v>
      </c>
      <c r="L249" s="572"/>
    </row>
    <row r="250" spans="1:12" ht="15" customHeight="1">
      <c r="A250" s="695"/>
      <c r="B250" s="642"/>
      <c r="C250" s="661" t="s">
        <v>278</v>
      </c>
      <c r="D250" s="357" t="s">
        <v>213</v>
      </c>
      <c r="E250" s="428" t="s">
        <v>3118</v>
      </c>
      <c r="F250" s="184" t="s">
        <v>3119</v>
      </c>
      <c r="G250" s="184" t="s">
        <v>3120</v>
      </c>
      <c r="H250" s="497" t="s">
        <v>3121</v>
      </c>
      <c r="I250" s="399"/>
      <c r="J250" t="s">
        <v>187</v>
      </c>
      <c r="L250" s="572"/>
    </row>
    <row r="251" spans="1:12" ht="15" customHeight="1">
      <c r="A251" s="695"/>
      <c r="B251" s="642"/>
      <c r="C251" s="662"/>
      <c r="D251" s="357" t="s">
        <v>270</v>
      </c>
      <c r="E251" s="428" t="s">
        <v>3122</v>
      </c>
      <c r="F251" s="184" t="s">
        <v>3123</v>
      </c>
      <c r="G251" s="184" t="s">
        <v>3124</v>
      </c>
      <c r="H251" s="497" t="s">
        <v>3125</v>
      </c>
      <c r="I251" s="399"/>
      <c r="J251" t="s">
        <v>187</v>
      </c>
      <c r="L251" s="572"/>
    </row>
    <row r="252" spans="1:12" ht="21.75" customHeight="1">
      <c r="A252" s="695"/>
      <c r="B252" s="642"/>
      <c r="C252" s="661" t="s">
        <v>291</v>
      </c>
      <c r="D252" s="357" t="s">
        <v>274</v>
      </c>
      <c r="E252" s="428" t="s">
        <v>3126</v>
      </c>
      <c r="F252" s="184" t="s">
        <v>3127</v>
      </c>
      <c r="G252" s="96" t="s">
        <v>3128</v>
      </c>
      <c r="H252" s="497" t="s">
        <v>3129</v>
      </c>
      <c r="I252" s="399"/>
      <c r="J252" t="s">
        <v>187</v>
      </c>
      <c r="L252" s="572"/>
    </row>
    <row r="253" spans="1:12" ht="15" customHeight="1">
      <c r="A253" s="695"/>
      <c r="B253" s="642"/>
      <c r="C253" s="662"/>
      <c r="D253" s="357" t="s">
        <v>279</v>
      </c>
      <c r="E253" s="428" t="s">
        <v>3130</v>
      </c>
      <c r="F253" s="184" t="s">
        <v>3131</v>
      </c>
      <c r="G253" s="96" t="s">
        <v>3132</v>
      </c>
      <c r="H253" s="497" t="s">
        <v>3133</v>
      </c>
      <c r="I253" s="399"/>
      <c r="J253" t="s">
        <v>187</v>
      </c>
      <c r="L253" s="572"/>
    </row>
    <row r="254" spans="1:12" ht="15" customHeight="1">
      <c r="A254" s="695"/>
      <c r="B254" s="642"/>
      <c r="C254" s="661" t="s">
        <v>305</v>
      </c>
      <c r="D254" s="357" t="s">
        <v>283</v>
      </c>
      <c r="E254" s="428" t="s">
        <v>3134</v>
      </c>
      <c r="F254" s="184" t="s">
        <v>3135</v>
      </c>
      <c r="G254" s="184" t="s">
        <v>3136</v>
      </c>
      <c r="H254" s="497" t="s">
        <v>3137</v>
      </c>
      <c r="I254" s="399"/>
      <c r="J254" t="s">
        <v>187</v>
      </c>
      <c r="L254" s="572"/>
    </row>
    <row r="255" spans="1:12" ht="15" customHeight="1">
      <c r="A255" s="695"/>
      <c r="B255" s="642"/>
      <c r="C255" s="662"/>
      <c r="D255" s="357" t="s">
        <v>287</v>
      </c>
      <c r="E255" s="428" t="s">
        <v>3138</v>
      </c>
      <c r="F255" s="184" t="s">
        <v>3139</v>
      </c>
      <c r="G255" s="184" t="s">
        <v>3140</v>
      </c>
      <c r="H255" s="497" t="s">
        <v>3141</v>
      </c>
      <c r="I255" s="399"/>
      <c r="J255" t="s">
        <v>187</v>
      </c>
      <c r="L255" s="572"/>
    </row>
    <row r="256" spans="1:12" ht="15" customHeight="1">
      <c r="A256" s="695"/>
      <c r="B256" s="642"/>
      <c r="C256" s="661" t="s">
        <v>365</v>
      </c>
      <c r="D256" s="357" t="s">
        <v>292</v>
      </c>
      <c r="E256" s="428" t="s">
        <v>3142</v>
      </c>
      <c r="F256" s="184" t="s">
        <v>3143</v>
      </c>
      <c r="G256" s="184" t="s">
        <v>3144</v>
      </c>
      <c r="H256" s="497" t="s">
        <v>3145</v>
      </c>
      <c r="I256" s="399"/>
      <c r="J256" t="s">
        <v>187</v>
      </c>
      <c r="L256" s="572"/>
    </row>
    <row r="257" spans="1:12" ht="15" customHeight="1">
      <c r="A257" s="696"/>
      <c r="B257" s="678"/>
      <c r="C257" s="663"/>
      <c r="D257" s="358" t="s">
        <v>297</v>
      </c>
      <c r="E257" s="429" t="s">
        <v>3146</v>
      </c>
      <c r="F257" s="184" t="s">
        <v>3147</v>
      </c>
      <c r="G257" s="184" t="s">
        <v>3148</v>
      </c>
      <c r="H257" s="497" t="s">
        <v>3149</v>
      </c>
      <c r="I257" s="399"/>
      <c r="J257" t="s">
        <v>187</v>
      </c>
      <c r="L257" s="572"/>
    </row>
    <row r="258" spans="1:12" s="673" customFormat="1" ht="15" customHeight="1">
      <c r="B258" s="674"/>
      <c r="C258" s="674"/>
      <c r="D258" s="674"/>
      <c r="E258" s="674"/>
      <c r="F258" s="674"/>
      <c r="G258" s="674"/>
      <c r="H258" s="674"/>
      <c r="I258" s="674"/>
      <c r="J258" s="674"/>
      <c r="K258" s="674"/>
      <c r="L258" s="674"/>
    </row>
    <row r="259" spans="1:12" ht="15" customHeight="1">
      <c r="A259" s="686" t="s">
        <v>168</v>
      </c>
      <c r="B259" s="641" t="s">
        <v>3150</v>
      </c>
      <c r="C259" s="689" t="s">
        <v>245</v>
      </c>
      <c r="D259" s="382" t="s">
        <v>217</v>
      </c>
      <c r="E259" s="430" t="s">
        <v>185</v>
      </c>
      <c r="F259" s="388" t="s">
        <v>3151</v>
      </c>
      <c r="G259" s="353" t="s">
        <v>3152</v>
      </c>
      <c r="H259" s="498" t="s">
        <v>3153</v>
      </c>
      <c r="I259" s="399"/>
      <c r="J259" t="s">
        <v>187</v>
      </c>
      <c r="L259" s="572" t="str">
        <f>VLOOKUP(A259,Geral!A:G,7,0)</f>
        <v>2024.4 AC</v>
      </c>
    </row>
    <row r="260" spans="1:12" ht="15" customHeight="1">
      <c r="A260" s="687"/>
      <c r="B260" s="642"/>
      <c r="C260" s="690"/>
      <c r="D260" s="383" t="s">
        <v>184</v>
      </c>
      <c r="E260" s="431" t="s">
        <v>3154</v>
      </c>
      <c r="F260" s="389" t="s">
        <v>3155</v>
      </c>
      <c r="G260" s="355" t="s">
        <v>3156</v>
      </c>
      <c r="H260" s="499" t="s">
        <v>3157</v>
      </c>
      <c r="I260" s="399"/>
      <c r="J260" t="s">
        <v>187</v>
      </c>
      <c r="L260" s="572"/>
    </row>
    <row r="261" spans="1:12" ht="15" customHeight="1">
      <c r="A261" s="687"/>
      <c r="B261" s="642"/>
      <c r="C261" s="690"/>
      <c r="D261" s="383" t="s">
        <v>190</v>
      </c>
      <c r="E261" s="432" t="s">
        <v>3158</v>
      </c>
      <c r="F261" s="389" t="s">
        <v>3159</v>
      </c>
      <c r="G261" s="355" t="s">
        <v>3160</v>
      </c>
      <c r="H261" s="499" t="s">
        <v>3161</v>
      </c>
      <c r="I261" s="399"/>
      <c r="J261" t="s">
        <v>187</v>
      </c>
      <c r="L261" s="572"/>
    </row>
    <row r="262" spans="1:12" ht="15" customHeight="1">
      <c r="A262" s="687"/>
      <c r="B262" s="642"/>
      <c r="C262" s="691"/>
      <c r="D262" s="384" t="s">
        <v>195</v>
      </c>
      <c r="E262" s="432" t="s">
        <v>3162</v>
      </c>
      <c r="F262" s="389" t="s">
        <v>3163</v>
      </c>
      <c r="G262" s="355" t="s">
        <v>3164</v>
      </c>
      <c r="H262" s="499" t="s">
        <v>3165</v>
      </c>
      <c r="I262" s="399"/>
      <c r="J262" t="s">
        <v>187</v>
      </c>
      <c r="L262" s="572"/>
    </row>
    <row r="263" spans="1:12" ht="15" customHeight="1">
      <c r="A263" s="687"/>
      <c r="B263" s="642"/>
      <c r="C263" s="692" t="s">
        <v>256</v>
      </c>
      <c r="D263" s="384" t="s">
        <v>199</v>
      </c>
      <c r="E263" s="432" t="s">
        <v>3166</v>
      </c>
      <c r="F263" s="389" t="s">
        <v>3167</v>
      </c>
      <c r="G263" s="355" t="s">
        <v>3168</v>
      </c>
      <c r="H263" s="499" t="s">
        <v>3169</v>
      </c>
      <c r="I263" s="399"/>
      <c r="J263" t="s">
        <v>187</v>
      </c>
      <c r="L263" s="572"/>
    </row>
    <row r="264" spans="1:12" ht="15" customHeight="1">
      <c r="A264" s="687"/>
      <c r="B264" s="642"/>
      <c r="C264" s="690"/>
      <c r="D264" s="383" t="s">
        <v>204</v>
      </c>
      <c r="E264" s="431" t="s">
        <v>3170</v>
      </c>
      <c r="F264" s="389" t="s">
        <v>3171</v>
      </c>
      <c r="G264" s="355" t="s">
        <v>3172</v>
      </c>
      <c r="H264" s="499" t="s">
        <v>3173</v>
      </c>
      <c r="I264" s="399"/>
      <c r="J264" t="s">
        <v>187</v>
      </c>
      <c r="L264" s="572"/>
    </row>
    <row r="265" spans="1:12" ht="15" customHeight="1">
      <c r="A265" s="687"/>
      <c r="B265" s="642"/>
      <c r="C265" s="691"/>
      <c r="D265" s="383" t="s">
        <v>208</v>
      </c>
      <c r="E265" s="431" t="s">
        <v>3174</v>
      </c>
      <c r="F265" s="389" t="s">
        <v>3175</v>
      </c>
      <c r="G265" s="355" t="s">
        <v>3176</v>
      </c>
      <c r="H265" s="499" t="s">
        <v>3177</v>
      </c>
      <c r="I265" s="399"/>
      <c r="J265" t="s">
        <v>187</v>
      </c>
      <c r="L265" s="572"/>
    </row>
    <row r="266" spans="1:12" ht="15" customHeight="1">
      <c r="A266" s="687"/>
      <c r="B266" s="642"/>
      <c r="C266" s="692" t="s">
        <v>266</v>
      </c>
      <c r="D266" s="383" t="s">
        <v>213</v>
      </c>
      <c r="E266" s="431" t="s">
        <v>3178</v>
      </c>
      <c r="F266" s="389" t="s">
        <v>3179</v>
      </c>
      <c r="G266" s="355" t="s">
        <v>3180</v>
      </c>
      <c r="H266" s="499" t="s">
        <v>3181</v>
      </c>
      <c r="I266" s="399"/>
      <c r="J266" t="s">
        <v>187</v>
      </c>
      <c r="L266" s="572"/>
    </row>
    <row r="267" spans="1:12" ht="15" customHeight="1">
      <c r="A267" s="687"/>
      <c r="B267" s="642"/>
      <c r="C267" s="691"/>
      <c r="D267" s="383" t="s">
        <v>270</v>
      </c>
      <c r="E267" s="431" t="s">
        <v>3182</v>
      </c>
      <c r="F267" s="389" t="s">
        <v>3183</v>
      </c>
      <c r="G267" s="354" t="s">
        <v>3184</v>
      </c>
      <c r="H267" s="499" t="s">
        <v>3185</v>
      </c>
      <c r="I267" s="399"/>
      <c r="J267" t="s">
        <v>187</v>
      </c>
      <c r="L267" s="572"/>
    </row>
    <row r="268" spans="1:12" ht="15" customHeight="1">
      <c r="A268" s="687"/>
      <c r="B268" s="642"/>
      <c r="C268" s="692" t="s">
        <v>278</v>
      </c>
      <c r="D268" s="383" t="s">
        <v>274</v>
      </c>
      <c r="E268" s="431" t="s">
        <v>3186</v>
      </c>
      <c r="F268" s="389" t="s">
        <v>3187</v>
      </c>
      <c r="G268" s="60" t="s">
        <v>3188</v>
      </c>
      <c r="H268" s="499" t="s">
        <v>3189</v>
      </c>
      <c r="I268" s="399"/>
      <c r="J268" t="s">
        <v>187</v>
      </c>
      <c r="L268" s="572"/>
    </row>
    <row r="269" spans="1:12" ht="15" customHeight="1">
      <c r="A269" s="687"/>
      <c r="B269" s="642"/>
      <c r="C269" s="691"/>
      <c r="D269" s="383" t="s">
        <v>279</v>
      </c>
      <c r="E269" s="431" t="s">
        <v>3190</v>
      </c>
      <c r="F269" s="389" t="s">
        <v>3191</v>
      </c>
      <c r="G269" s="60" t="s">
        <v>3192</v>
      </c>
      <c r="H269" s="499" t="s">
        <v>3193</v>
      </c>
      <c r="I269" s="399"/>
      <c r="J269" t="s">
        <v>187</v>
      </c>
      <c r="L269" s="572"/>
    </row>
    <row r="270" spans="1:12" ht="15" customHeight="1">
      <c r="A270" s="687"/>
      <c r="B270" s="642"/>
      <c r="C270" s="692" t="s">
        <v>291</v>
      </c>
      <c r="D270" s="383" t="s">
        <v>283</v>
      </c>
      <c r="E270" s="431" t="s">
        <v>3194</v>
      </c>
      <c r="F270" s="389" t="s">
        <v>3195</v>
      </c>
      <c r="G270" s="60" t="s">
        <v>3196</v>
      </c>
      <c r="H270" s="499" t="s">
        <v>3197</v>
      </c>
      <c r="I270" s="399"/>
      <c r="J270" t="s">
        <v>187</v>
      </c>
      <c r="L270" s="572"/>
    </row>
    <row r="271" spans="1:12" ht="15" customHeight="1">
      <c r="A271" s="687"/>
      <c r="B271" s="642"/>
      <c r="C271" s="691"/>
      <c r="D271" s="383" t="s">
        <v>287</v>
      </c>
      <c r="E271" s="431" t="s">
        <v>3198</v>
      </c>
      <c r="F271" s="389" t="s">
        <v>3199</v>
      </c>
      <c r="G271" s="60" t="s">
        <v>3200</v>
      </c>
      <c r="H271" s="499" t="s">
        <v>3201</v>
      </c>
      <c r="I271" s="399"/>
      <c r="J271" t="s">
        <v>187</v>
      </c>
      <c r="L271" s="572"/>
    </row>
    <row r="272" spans="1:12" ht="15" customHeight="1">
      <c r="A272" s="687"/>
      <c r="B272" s="642"/>
      <c r="C272" s="385" t="s">
        <v>305</v>
      </c>
      <c r="D272" s="383" t="s">
        <v>292</v>
      </c>
      <c r="E272" s="431" t="s">
        <v>3202</v>
      </c>
      <c r="F272" s="389" t="s">
        <v>3203</v>
      </c>
      <c r="G272" s="60" t="s">
        <v>3204</v>
      </c>
      <c r="H272" s="499" t="s">
        <v>3205</v>
      </c>
      <c r="I272" s="399"/>
      <c r="J272" t="s">
        <v>187</v>
      </c>
      <c r="L272" s="572"/>
    </row>
    <row r="273" spans="1:12" ht="15" customHeight="1">
      <c r="A273" s="687"/>
      <c r="B273" s="642"/>
      <c r="C273" s="692" t="s">
        <v>365</v>
      </c>
      <c r="D273" s="383" t="s">
        <v>297</v>
      </c>
      <c r="E273" s="431" t="s">
        <v>3206</v>
      </c>
      <c r="F273" s="389" t="s">
        <v>3207</v>
      </c>
      <c r="G273" s="60" t="s">
        <v>3208</v>
      </c>
      <c r="H273" s="499" t="s">
        <v>3209</v>
      </c>
      <c r="I273" s="399"/>
      <c r="J273" t="s">
        <v>187</v>
      </c>
      <c r="L273" s="572"/>
    </row>
    <row r="274" spans="1:12" ht="15" customHeight="1">
      <c r="A274" s="687"/>
      <c r="B274" s="642"/>
      <c r="C274" s="691"/>
      <c r="D274" s="383" t="s">
        <v>301</v>
      </c>
      <c r="E274" s="431" t="s">
        <v>3210</v>
      </c>
      <c r="F274" s="389" t="s">
        <v>3211</v>
      </c>
      <c r="G274" s="353" t="s">
        <v>3212</v>
      </c>
      <c r="H274" s="499" t="s">
        <v>3213</v>
      </c>
      <c r="I274" s="399"/>
      <c r="L274" s="572"/>
    </row>
    <row r="275" spans="1:12" ht="15" customHeight="1">
      <c r="A275" s="687"/>
      <c r="B275" s="642"/>
      <c r="C275" s="692" t="s">
        <v>1351</v>
      </c>
      <c r="D275" s="383" t="s">
        <v>306</v>
      </c>
      <c r="E275" s="431" t="s">
        <v>3214</v>
      </c>
      <c r="F275" s="389" t="s">
        <v>3215</v>
      </c>
      <c r="G275" s="355" t="s">
        <v>3216</v>
      </c>
      <c r="H275" s="499" t="s">
        <v>3217</v>
      </c>
      <c r="I275" s="399"/>
      <c r="L275" s="572"/>
    </row>
    <row r="276" spans="1:12" ht="15" customHeight="1">
      <c r="A276" s="688"/>
      <c r="B276" s="678"/>
      <c r="C276" s="693"/>
      <c r="D276" s="386" t="s">
        <v>425</v>
      </c>
      <c r="E276" s="433" t="s">
        <v>3218</v>
      </c>
      <c r="F276" s="390" t="s">
        <v>3219</v>
      </c>
      <c r="G276" s="354" t="s">
        <v>3220</v>
      </c>
      <c r="H276" s="500" t="s">
        <v>3221</v>
      </c>
      <c r="I276" s="399"/>
      <c r="L276" s="572"/>
    </row>
    <row r="277" spans="1:12" s="685" customFormat="1" ht="15" customHeight="1">
      <c r="A277" s="683"/>
      <c r="B277" s="684"/>
      <c r="C277" s="684"/>
      <c r="D277" s="684"/>
      <c r="E277" s="684"/>
      <c r="F277" s="684"/>
      <c r="G277" s="684"/>
      <c r="H277" s="684"/>
      <c r="I277" s="684"/>
      <c r="J277" s="684"/>
      <c r="K277" s="684"/>
      <c r="L277" s="684"/>
    </row>
    <row r="278" spans="1:12" ht="15" customHeight="1">
      <c r="A278" s="675" t="s">
        <v>165</v>
      </c>
      <c r="B278" s="641" t="s">
        <v>3222</v>
      </c>
      <c r="C278" s="679" t="s">
        <v>245</v>
      </c>
      <c r="D278" s="379" t="s">
        <v>217</v>
      </c>
      <c r="E278" s="434" t="s">
        <v>185</v>
      </c>
      <c r="F278" s="391" t="s">
        <v>3223</v>
      </c>
      <c r="G278" s="505" t="s">
        <v>3224</v>
      </c>
      <c r="H278" s="353" t="s">
        <v>3225</v>
      </c>
      <c r="I278" s="392"/>
      <c r="J278" t="s">
        <v>187</v>
      </c>
      <c r="K278"/>
      <c r="L278" s="572" t="str">
        <f>VLOOKUP(A278,Geral!A:G,7,0)</f>
        <v>2024.4 AC</v>
      </c>
    </row>
    <row r="279" spans="1:12" ht="15" customHeight="1">
      <c r="A279" s="676"/>
      <c r="B279" s="642"/>
      <c r="C279" s="680"/>
      <c r="D279" s="380" t="s">
        <v>184</v>
      </c>
      <c r="E279" s="435" t="s">
        <v>3226</v>
      </c>
      <c r="F279" s="393" t="s">
        <v>3227</v>
      </c>
      <c r="G279" s="506" t="s">
        <v>3228</v>
      </c>
      <c r="H279" s="355" t="s">
        <v>3229</v>
      </c>
      <c r="I279" s="394"/>
      <c r="J279" t="s">
        <v>187</v>
      </c>
      <c r="K279"/>
      <c r="L279" s="572"/>
    </row>
    <row r="280" spans="1:12" ht="15" customHeight="1">
      <c r="A280" s="676"/>
      <c r="B280" s="642"/>
      <c r="C280" s="681" t="s">
        <v>256</v>
      </c>
      <c r="D280" s="380" t="s">
        <v>3230</v>
      </c>
      <c r="E280" s="435" t="s">
        <v>3231</v>
      </c>
      <c r="F280" s="393" t="s">
        <v>3232</v>
      </c>
      <c r="G280" s="506" t="s">
        <v>3233</v>
      </c>
      <c r="H280" s="355" t="s">
        <v>3234</v>
      </c>
      <c r="I280" s="394"/>
      <c r="J280" t="s">
        <v>187</v>
      </c>
      <c r="K280"/>
      <c r="L280" s="572"/>
    </row>
    <row r="281" spans="1:12" ht="15" customHeight="1">
      <c r="A281" s="676"/>
      <c r="B281" s="642"/>
      <c r="C281" s="680"/>
      <c r="D281" s="380" t="s">
        <v>3235</v>
      </c>
      <c r="E281" s="435" t="s">
        <v>3236</v>
      </c>
      <c r="F281" s="393" t="s">
        <v>3237</v>
      </c>
      <c r="G281" s="506" t="s">
        <v>3238</v>
      </c>
      <c r="H281" s="355" t="s">
        <v>3239</v>
      </c>
      <c r="I281" s="394"/>
      <c r="J281" t="s">
        <v>187</v>
      </c>
      <c r="K281"/>
      <c r="L281" s="572"/>
    </row>
    <row r="282" spans="1:12" ht="15" customHeight="1">
      <c r="A282" s="676"/>
      <c r="B282" s="642"/>
      <c r="C282" s="381" t="s">
        <v>266</v>
      </c>
      <c r="D282" s="380" t="s">
        <v>195</v>
      </c>
      <c r="E282" s="435" t="s">
        <v>3240</v>
      </c>
      <c r="F282" s="393" t="s">
        <v>3241</v>
      </c>
      <c r="G282" s="506" t="s">
        <v>3242</v>
      </c>
      <c r="H282" s="355" t="s">
        <v>3243</v>
      </c>
      <c r="I282" s="394"/>
      <c r="J282" t="s">
        <v>187</v>
      </c>
      <c r="K282"/>
      <c r="L282" s="572"/>
    </row>
    <row r="283" spans="1:12" ht="15" customHeight="1">
      <c r="A283" s="676"/>
      <c r="B283" s="642"/>
      <c r="C283" s="381" t="s">
        <v>278</v>
      </c>
      <c r="D283" s="380" t="s">
        <v>199</v>
      </c>
      <c r="E283" s="435" t="s">
        <v>3244</v>
      </c>
      <c r="F283" s="393" t="s">
        <v>3245</v>
      </c>
      <c r="G283" s="506" t="s">
        <v>3246</v>
      </c>
      <c r="H283" s="355" t="s">
        <v>3247</v>
      </c>
      <c r="I283" s="394"/>
      <c r="J283" t="s">
        <v>187</v>
      </c>
      <c r="K283"/>
      <c r="L283" s="572"/>
    </row>
    <row r="284" spans="1:12" ht="15" customHeight="1">
      <c r="A284" s="676"/>
      <c r="B284" s="642"/>
      <c r="C284" s="381" t="s">
        <v>291</v>
      </c>
      <c r="D284" s="380" t="s">
        <v>204</v>
      </c>
      <c r="E284" s="435" t="s">
        <v>3248</v>
      </c>
      <c r="F284" s="393" t="s">
        <v>3249</v>
      </c>
      <c r="G284" s="506" t="s">
        <v>3250</v>
      </c>
      <c r="H284" s="355" t="s">
        <v>3251</v>
      </c>
      <c r="I284" s="394"/>
      <c r="J284" t="s">
        <v>187</v>
      </c>
      <c r="K284"/>
      <c r="L284" s="572"/>
    </row>
    <row r="285" spans="1:12" ht="15" customHeight="1">
      <c r="A285" s="676"/>
      <c r="B285" s="642"/>
      <c r="C285" s="381" t="s">
        <v>305</v>
      </c>
      <c r="D285" s="380" t="s">
        <v>208</v>
      </c>
      <c r="E285" s="435" t="s">
        <v>3252</v>
      </c>
      <c r="F285" s="393" t="s">
        <v>3253</v>
      </c>
      <c r="G285" s="506" t="s">
        <v>3254</v>
      </c>
      <c r="H285" s="355" t="s">
        <v>3255</v>
      </c>
      <c r="I285" s="394"/>
      <c r="K285"/>
      <c r="L285" s="572"/>
    </row>
    <row r="286" spans="1:12" ht="15" customHeight="1">
      <c r="A286" s="676"/>
      <c r="B286" s="642"/>
      <c r="C286" s="681" t="s">
        <v>365</v>
      </c>
      <c r="D286" s="380" t="s">
        <v>213</v>
      </c>
      <c r="E286" s="435" t="s">
        <v>3256</v>
      </c>
      <c r="F286" s="395" t="s">
        <v>3257</v>
      </c>
      <c r="G286" s="506" t="s">
        <v>3258</v>
      </c>
      <c r="H286" s="355" t="s">
        <v>3259</v>
      </c>
      <c r="I286" s="394"/>
      <c r="J286" t="s">
        <v>187</v>
      </c>
      <c r="K286"/>
      <c r="L286" s="572"/>
    </row>
    <row r="287" spans="1:12" ht="15" customHeight="1">
      <c r="A287" s="677"/>
      <c r="B287" s="678"/>
      <c r="C287" s="682"/>
      <c r="D287" s="396" t="s">
        <v>3260</v>
      </c>
      <c r="E287" s="436" t="s">
        <v>3261</v>
      </c>
      <c r="F287" s="397" t="s">
        <v>3262</v>
      </c>
      <c r="G287" s="507" t="s">
        <v>3263</v>
      </c>
      <c r="H287" s="354" t="s">
        <v>3264</v>
      </c>
      <c r="I287" s="398"/>
      <c r="J287" t="s">
        <v>187</v>
      </c>
      <c r="K287"/>
      <c r="L287" s="572"/>
    </row>
    <row r="288" spans="1:12" ht="15" customHeight="1">
      <c r="A288" s="683"/>
      <c r="B288" s="684"/>
      <c r="C288" s="684"/>
      <c r="D288" s="684"/>
      <c r="E288" s="684"/>
      <c r="F288" s="684"/>
      <c r="G288" s="684"/>
      <c r="H288" s="684"/>
      <c r="I288" s="684"/>
      <c r="J288" s="684"/>
      <c r="K288" s="684"/>
      <c r="L288" s="684"/>
    </row>
    <row r="289" spans="1:12" ht="15" customHeight="1">
      <c r="A289" s="439"/>
      <c r="B289" s="641" t="s">
        <v>3265</v>
      </c>
      <c r="C289" s="697" t="s">
        <v>245</v>
      </c>
      <c r="D289" s="442" t="s">
        <v>3266</v>
      </c>
      <c r="E289" s="435" t="s">
        <v>3267</v>
      </c>
      <c r="F289" s="443" t="s">
        <v>3268</v>
      </c>
      <c r="G289" s="388" t="s">
        <v>3269</v>
      </c>
      <c r="H289" s="353" t="s">
        <v>3270</v>
      </c>
      <c r="I289" s="399"/>
      <c r="L289" s="572" t="e">
        <f>VLOOKUP(A289,Geral!A:G,7,0)</f>
        <v>#N/A</v>
      </c>
    </row>
    <row r="290" spans="1:12" ht="15" customHeight="1">
      <c r="A290" s="700" t="s">
        <v>3271</v>
      </c>
      <c r="B290" s="642"/>
      <c r="C290" s="698"/>
      <c r="D290" s="442" t="s">
        <v>184</v>
      </c>
      <c r="E290" s="435" t="s">
        <v>3272</v>
      </c>
      <c r="F290" s="443" t="s">
        <v>3273</v>
      </c>
      <c r="G290" s="389" t="s">
        <v>3274</v>
      </c>
      <c r="H290" s="355" t="s">
        <v>3275</v>
      </c>
      <c r="I290" s="399"/>
      <c r="L290" s="572"/>
    </row>
    <row r="291" spans="1:12" ht="15" customHeight="1">
      <c r="A291" s="701"/>
      <c r="B291" s="642"/>
      <c r="C291" s="698"/>
      <c r="D291" s="442" t="s">
        <v>190</v>
      </c>
      <c r="E291" s="435" t="s">
        <v>3276</v>
      </c>
      <c r="F291" s="443" t="s">
        <v>3277</v>
      </c>
      <c r="G291" s="389" t="s">
        <v>3278</v>
      </c>
      <c r="H291" s="355" t="s">
        <v>3279</v>
      </c>
      <c r="I291" s="399"/>
      <c r="L291" s="572"/>
    </row>
    <row r="292" spans="1:12" ht="15" customHeight="1">
      <c r="A292" s="701"/>
      <c r="B292" s="642"/>
      <c r="C292" s="699"/>
      <c r="D292" s="442" t="s">
        <v>3280</v>
      </c>
      <c r="E292" s="435" t="s">
        <v>3281</v>
      </c>
      <c r="F292" s="443" t="s">
        <v>3282</v>
      </c>
      <c r="G292" s="389" t="s">
        <v>3283</v>
      </c>
      <c r="H292" s="355" t="s">
        <v>3284</v>
      </c>
      <c r="I292" s="399"/>
      <c r="L292" s="572"/>
    </row>
    <row r="293" spans="1:12" ht="15" customHeight="1">
      <c r="A293" s="701"/>
      <c r="B293" s="642"/>
      <c r="C293" s="703" t="s">
        <v>256</v>
      </c>
      <c r="D293" s="442" t="s">
        <v>195</v>
      </c>
      <c r="E293" s="435" t="s">
        <v>3285</v>
      </c>
      <c r="F293" s="443" t="s">
        <v>3286</v>
      </c>
      <c r="G293" s="389" t="s">
        <v>3287</v>
      </c>
      <c r="H293" s="355" t="s">
        <v>3288</v>
      </c>
      <c r="I293" s="399"/>
      <c r="L293" s="572"/>
    </row>
    <row r="294" spans="1:12" ht="15" customHeight="1">
      <c r="A294" s="701"/>
      <c r="B294" s="642"/>
      <c r="C294" s="698"/>
      <c r="D294" s="442" t="s">
        <v>199</v>
      </c>
      <c r="E294" s="435" t="s">
        <v>3289</v>
      </c>
      <c r="F294" s="443" t="s">
        <v>3290</v>
      </c>
      <c r="G294" s="389" t="s">
        <v>3291</v>
      </c>
      <c r="H294" s="355" t="s">
        <v>3292</v>
      </c>
      <c r="I294" s="399"/>
      <c r="L294" s="572"/>
    </row>
    <row r="295" spans="1:12" ht="15" customHeight="1">
      <c r="A295" s="701"/>
      <c r="B295" s="642"/>
      <c r="C295" s="698"/>
      <c r="D295" s="442" t="s">
        <v>204</v>
      </c>
      <c r="E295" s="435" t="s">
        <v>3293</v>
      </c>
      <c r="F295" s="443" t="s">
        <v>3294</v>
      </c>
      <c r="G295" s="389" t="s">
        <v>3295</v>
      </c>
      <c r="H295" s="355" t="s">
        <v>3296</v>
      </c>
      <c r="I295" s="399"/>
      <c r="L295" s="572"/>
    </row>
    <row r="296" spans="1:12" ht="15" customHeight="1">
      <c r="A296" s="701"/>
      <c r="B296" s="642"/>
      <c r="C296" s="699"/>
      <c r="D296" s="442" t="s">
        <v>3280</v>
      </c>
      <c r="E296" s="435" t="s">
        <v>3297</v>
      </c>
      <c r="F296" s="443" t="s">
        <v>3298</v>
      </c>
      <c r="H296" s="402"/>
      <c r="I296" s="399"/>
      <c r="L296" s="572"/>
    </row>
    <row r="297" spans="1:12" ht="15" customHeight="1">
      <c r="A297" s="701"/>
      <c r="B297" s="642"/>
      <c r="C297" s="703" t="s">
        <v>266</v>
      </c>
      <c r="D297" s="442" t="s">
        <v>208</v>
      </c>
      <c r="E297" s="435" t="s">
        <v>3299</v>
      </c>
      <c r="F297" s="443" t="s">
        <v>3300</v>
      </c>
      <c r="G297" s="389" t="s">
        <v>3301</v>
      </c>
      <c r="H297" s="355" t="s">
        <v>3302</v>
      </c>
      <c r="I297" s="399"/>
      <c r="L297" s="572"/>
    </row>
    <row r="298" spans="1:12" ht="15" customHeight="1">
      <c r="A298" s="701"/>
      <c r="B298" s="642"/>
      <c r="C298" s="698"/>
      <c r="D298" s="442" t="s">
        <v>213</v>
      </c>
      <c r="E298" s="435" t="s">
        <v>3303</v>
      </c>
      <c r="F298" s="443" t="s">
        <v>3304</v>
      </c>
      <c r="G298" s="389" t="s">
        <v>3305</v>
      </c>
      <c r="H298" s="355" t="s">
        <v>3306</v>
      </c>
      <c r="I298" s="399"/>
      <c r="L298" s="572"/>
    </row>
    <row r="299" spans="1:12" ht="15" customHeight="1">
      <c r="A299" s="701"/>
      <c r="B299" s="642"/>
      <c r="C299" s="699"/>
      <c r="D299" s="442" t="s">
        <v>270</v>
      </c>
      <c r="E299" s="435" t="s">
        <v>3307</v>
      </c>
      <c r="F299" s="443" t="s">
        <v>3308</v>
      </c>
      <c r="G299" s="389" t="s">
        <v>3309</v>
      </c>
      <c r="H299" s="355" t="s">
        <v>3310</v>
      </c>
      <c r="I299" s="399"/>
      <c r="L299" s="572"/>
    </row>
    <row r="300" spans="1:12" ht="15" customHeight="1">
      <c r="A300" s="701"/>
      <c r="B300" s="642"/>
      <c r="C300" s="703" t="s">
        <v>278</v>
      </c>
      <c r="D300" s="442" t="s">
        <v>274</v>
      </c>
      <c r="E300" s="435" t="s">
        <v>3311</v>
      </c>
      <c r="F300" s="443" t="s">
        <v>3312</v>
      </c>
      <c r="G300" s="389" t="s">
        <v>3313</v>
      </c>
      <c r="H300" s="355" t="s">
        <v>3314</v>
      </c>
      <c r="I300" s="399"/>
      <c r="L300" s="572"/>
    </row>
    <row r="301" spans="1:12" ht="15" customHeight="1">
      <c r="A301" s="701"/>
      <c r="B301" s="642"/>
      <c r="C301" s="698"/>
      <c r="D301" s="442" t="s">
        <v>279</v>
      </c>
      <c r="E301" s="435" t="s">
        <v>3315</v>
      </c>
      <c r="F301" s="443" t="s">
        <v>3316</v>
      </c>
      <c r="G301" s="389" t="s">
        <v>3317</v>
      </c>
      <c r="H301" s="355" t="s">
        <v>3318</v>
      </c>
      <c r="I301" s="399"/>
      <c r="L301" s="572"/>
    </row>
    <row r="302" spans="1:12" ht="15" customHeight="1">
      <c r="A302" s="701"/>
      <c r="B302" s="642"/>
      <c r="C302" s="698"/>
      <c r="D302" s="442" t="s">
        <v>283</v>
      </c>
      <c r="E302" s="435" t="s">
        <v>3319</v>
      </c>
      <c r="F302" s="443" t="s">
        <v>3320</v>
      </c>
      <c r="G302" s="389" t="s">
        <v>3321</v>
      </c>
      <c r="H302" s="355" t="s">
        <v>3322</v>
      </c>
      <c r="I302" s="399"/>
      <c r="L302" s="572"/>
    </row>
    <row r="303" spans="1:12" ht="15" customHeight="1">
      <c r="A303" s="701"/>
      <c r="B303" s="642"/>
      <c r="C303" s="699"/>
      <c r="D303" s="442" t="s">
        <v>287</v>
      </c>
      <c r="E303" s="435" t="s">
        <v>3323</v>
      </c>
      <c r="F303" s="443" t="s">
        <v>3324</v>
      </c>
      <c r="G303" s="389" t="s">
        <v>3325</v>
      </c>
      <c r="H303" s="355" t="s">
        <v>3326</v>
      </c>
      <c r="I303" s="399"/>
      <c r="L303" s="572"/>
    </row>
    <row r="304" spans="1:12" ht="15" customHeight="1">
      <c r="A304" s="701"/>
      <c r="B304" s="642"/>
      <c r="C304" s="703" t="s">
        <v>291</v>
      </c>
      <c r="D304" s="442" t="s">
        <v>292</v>
      </c>
      <c r="E304" s="435" t="s">
        <v>3327</v>
      </c>
      <c r="F304" s="443" t="s">
        <v>3328</v>
      </c>
      <c r="G304" s="389" t="s">
        <v>3329</v>
      </c>
      <c r="H304" s="355" t="s">
        <v>3330</v>
      </c>
      <c r="I304" s="399"/>
      <c r="L304" s="572"/>
    </row>
    <row r="305" spans="1:12" ht="15" customHeight="1">
      <c r="A305" s="701"/>
      <c r="B305" s="642"/>
      <c r="C305" s="699"/>
      <c r="D305" s="442" t="s">
        <v>297</v>
      </c>
      <c r="E305" s="435" t="s">
        <v>3331</v>
      </c>
      <c r="F305" s="443" t="s">
        <v>3332</v>
      </c>
      <c r="G305" s="389" t="s">
        <v>3333</v>
      </c>
      <c r="H305" s="355" t="s">
        <v>3334</v>
      </c>
      <c r="I305" s="399"/>
      <c r="L305" s="572"/>
    </row>
    <row r="306" spans="1:12" ht="15" customHeight="1">
      <c r="A306" s="701"/>
      <c r="B306" s="642"/>
      <c r="C306" s="703" t="s">
        <v>305</v>
      </c>
      <c r="D306" s="442" t="s">
        <v>301</v>
      </c>
      <c r="E306" s="435" t="s">
        <v>3335</v>
      </c>
      <c r="F306" s="443" t="s">
        <v>3336</v>
      </c>
      <c r="G306" s="389" t="s">
        <v>3337</v>
      </c>
      <c r="H306" s="355" t="s">
        <v>3338</v>
      </c>
      <c r="I306" s="399"/>
      <c r="L306" s="572"/>
    </row>
    <row r="307" spans="1:12" ht="15" customHeight="1">
      <c r="A307" s="701"/>
      <c r="B307" s="642"/>
      <c r="C307" s="699"/>
      <c r="D307" s="442" t="s">
        <v>306</v>
      </c>
      <c r="E307" s="435" t="s">
        <v>3339</v>
      </c>
      <c r="F307" s="443" t="s">
        <v>3340</v>
      </c>
      <c r="G307" s="389" t="s">
        <v>3341</v>
      </c>
      <c r="H307" s="355" t="s">
        <v>3342</v>
      </c>
      <c r="I307" s="399"/>
      <c r="L307" s="572"/>
    </row>
    <row r="308" spans="1:12" ht="15" customHeight="1">
      <c r="A308" s="701"/>
      <c r="B308" s="642"/>
      <c r="C308" s="703" t="s">
        <v>365</v>
      </c>
      <c r="D308" s="442" t="s">
        <v>425</v>
      </c>
      <c r="E308" s="435" t="s">
        <v>3343</v>
      </c>
      <c r="F308" s="443" t="s">
        <v>3344</v>
      </c>
      <c r="G308" s="389" t="s">
        <v>3345</v>
      </c>
      <c r="H308" s="355" t="s">
        <v>3346</v>
      </c>
      <c r="I308" s="399"/>
      <c r="L308" s="572"/>
    </row>
    <row r="309" spans="1:12" ht="15" customHeight="1">
      <c r="A309" s="701"/>
      <c r="B309" s="642"/>
      <c r="C309" s="698"/>
      <c r="D309" s="442" t="s">
        <v>429</v>
      </c>
      <c r="E309" s="435" t="s">
        <v>3347</v>
      </c>
      <c r="F309" s="443" t="s">
        <v>3348</v>
      </c>
      <c r="G309" s="389" t="s">
        <v>3349</v>
      </c>
      <c r="H309" s="355" t="s">
        <v>3350</v>
      </c>
      <c r="I309" s="399"/>
      <c r="L309" s="572"/>
    </row>
    <row r="310" spans="1:12" ht="15" customHeight="1">
      <c r="A310" s="702"/>
      <c r="B310" s="642"/>
      <c r="C310" s="698"/>
      <c r="D310" s="442" t="s">
        <v>433</v>
      </c>
      <c r="E310" s="435" t="s">
        <v>3351</v>
      </c>
      <c r="F310" s="443" t="s">
        <v>3352</v>
      </c>
      <c r="G310" s="389" t="s">
        <v>3353</v>
      </c>
      <c r="H310" s="355" t="s">
        <v>3354</v>
      </c>
      <c r="I310" s="399"/>
      <c r="L310" s="572"/>
    </row>
    <row r="311" spans="1:12" ht="15" customHeight="1">
      <c r="A311" s="440"/>
      <c r="B311" s="642"/>
      <c r="C311" s="698"/>
      <c r="D311" s="442" t="s">
        <v>437</v>
      </c>
      <c r="E311" s="435" t="s">
        <v>3355</v>
      </c>
      <c r="F311" s="443" t="s">
        <v>3356</v>
      </c>
      <c r="G311" s="389" t="s">
        <v>3357</v>
      </c>
      <c r="H311" s="355" t="s">
        <v>3358</v>
      </c>
      <c r="I311" s="399"/>
      <c r="L311" s="572"/>
    </row>
    <row r="312" spans="1:12" ht="15" customHeight="1">
      <c r="A312" s="440"/>
      <c r="B312" s="642"/>
      <c r="C312" s="698"/>
      <c r="D312" s="442" t="s">
        <v>639</v>
      </c>
      <c r="E312" s="435" t="s">
        <v>3359</v>
      </c>
      <c r="F312" s="443" t="s">
        <v>3360</v>
      </c>
      <c r="G312" s="389" t="s">
        <v>3361</v>
      </c>
      <c r="H312" s="355" t="s">
        <v>3362</v>
      </c>
      <c r="I312" s="399"/>
      <c r="L312" s="572"/>
    </row>
    <row r="313" spans="1:12" ht="15" customHeight="1">
      <c r="A313" s="440"/>
      <c r="B313" s="642"/>
      <c r="C313" s="698"/>
      <c r="D313" s="442" t="s">
        <v>1561</v>
      </c>
      <c r="E313" s="435" t="s">
        <v>3363</v>
      </c>
      <c r="F313" s="443" t="s">
        <v>3364</v>
      </c>
      <c r="G313" s="389" t="s">
        <v>3365</v>
      </c>
      <c r="H313" s="355" t="s">
        <v>3366</v>
      </c>
      <c r="I313" s="399"/>
      <c r="L313" s="572"/>
    </row>
    <row r="314" spans="1:12" ht="15" customHeight="1">
      <c r="A314" s="441"/>
      <c r="B314" s="678"/>
      <c r="C314" s="704"/>
      <c r="D314" s="442" t="s">
        <v>1565</v>
      </c>
      <c r="E314" s="435" t="s">
        <v>3367</v>
      </c>
      <c r="F314" s="443" t="s">
        <v>3368</v>
      </c>
      <c r="G314" s="390" t="s">
        <v>3369</v>
      </c>
      <c r="H314" s="354" t="s">
        <v>3370</v>
      </c>
      <c r="I314" s="399"/>
      <c r="L314" s="572"/>
    </row>
    <row r="315" spans="1:12" ht="15" customHeight="1">
      <c r="A315" s="683"/>
      <c r="B315" s="684"/>
      <c r="C315" s="684"/>
      <c r="D315" s="684"/>
      <c r="E315" s="684"/>
      <c r="F315" s="684"/>
      <c r="G315" s="684"/>
      <c r="H315" s="684"/>
      <c r="I315" s="684"/>
      <c r="J315" s="684"/>
      <c r="K315" s="684"/>
      <c r="L315" s="684"/>
    </row>
  </sheetData>
  <autoFilter ref="L2:L183" xr:uid="{D0D1007B-68F3-43E6-AD32-BEE5DFB9FDF9}"/>
  <mergeCells count="161">
    <mergeCell ref="A315:L315"/>
    <mergeCell ref="A288:L288"/>
    <mergeCell ref="B289:B314"/>
    <mergeCell ref="C289:C292"/>
    <mergeCell ref="A290:A310"/>
    <mergeCell ref="C293:C296"/>
    <mergeCell ref="C297:C299"/>
    <mergeCell ref="C300:C303"/>
    <mergeCell ref="C304:C305"/>
    <mergeCell ref="C306:C307"/>
    <mergeCell ref="C308:C314"/>
    <mergeCell ref="L289:L314"/>
    <mergeCell ref="L226:L242"/>
    <mergeCell ref="L244:L257"/>
    <mergeCell ref="L259:L276"/>
    <mergeCell ref="L278:L287"/>
    <mergeCell ref="A258:XFD258"/>
    <mergeCell ref="A278:A287"/>
    <mergeCell ref="B278:B287"/>
    <mergeCell ref="C278:C279"/>
    <mergeCell ref="C280:C281"/>
    <mergeCell ref="C286:C287"/>
    <mergeCell ref="A277:XFD277"/>
    <mergeCell ref="A259:A276"/>
    <mergeCell ref="B259:B276"/>
    <mergeCell ref="C259:C262"/>
    <mergeCell ref="C263:C265"/>
    <mergeCell ref="C266:C267"/>
    <mergeCell ref="C268:C269"/>
    <mergeCell ref="C270:C271"/>
    <mergeCell ref="C273:C274"/>
    <mergeCell ref="C275:C276"/>
    <mergeCell ref="A244:A257"/>
    <mergeCell ref="B244:B257"/>
    <mergeCell ref="C244:C245"/>
    <mergeCell ref="C246:C247"/>
    <mergeCell ref="C248:C249"/>
    <mergeCell ref="C250:C251"/>
    <mergeCell ref="C252:C253"/>
    <mergeCell ref="C254:C255"/>
    <mergeCell ref="C256:C257"/>
    <mergeCell ref="A226:A242"/>
    <mergeCell ref="B226:B242"/>
    <mergeCell ref="C226:C228"/>
    <mergeCell ref="C229:C231"/>
    <mergeCell ref="C232:C233"/>
    <mergeCell ref="C234:C235"/>
    <mergeCell ref="C236:C237"/>
    <mergeCell ref="C238:C239"/>
    <mergeCell ref="C240:C242"/>
    <mergeCell ref="C185:C186"/>
    <mergeCell ref="C188:C189"/>
    <mergeCell ref="C190:C191"/>
    <mergeCell ref="C192:C194"/>
    <mergeCell ref="C195:C196"/>
    <mergeCell ref="A198:A202"/>
    <mergeCell ref="B198:B202"/>
    <mergeCell ref="A204:A224"/>
    <mergeCell ref="B204:B224"/>
    <mergeCell ref="C204:C206"/>
    <mergeCell ref="C207:C209"/>
    <mergeCell ref="C210:C212"/>
    <mergeCell ref="C213:C215"/>
    <mergeCell ref="C216:C217"/>
    <mergeCell ref="C218:C220"/>
    <mergeCell ref="C221:C223"/>
    <mergeCell ref="B184:B196"/>
    <mergeCell ref="A184:A196"/>
    <mergeCell ref="A92:A98"/>
    <mergeCell ref="B92:B98"/>
    <mergeCell ref="C55:C57"/>
    <mergeCell ref="C58:C61"/>
    <mergeCell ref="C62:C65"/>
    <mergeCell ref="K25:K53"/>
    <mergeCell ref="K55:K81"/>
    <mergeCell ref="K83:K90"/>
    <mergeCell ref="C66:C69"/>
    <mergeCell ref="C70:C73"/>
    <mergeCell ref="C74:C77"/>
    <mergeCell ref="C78:C81"/>
    <mergeCell ref="C83:C84"/>
    <mergeCell ref="C87:C88"/>
    <mergeCell ref="C89:C90"/>
    <mergeCell ref="C42:C45"/>
    <mergeCell ref="C46:C49"/>
    <mergeCell ref="C50:C53"/>
    <mergeCell ref="L83:L90"/>
    <mergeCell ref="L55:L81"/>
    <mergeCell ref="L25:L53"/>
    <mergeCell ref="B55:B81"/>
    <mergeCell ref="A55:A81"/>
    <mergeCell ref="G1:I1"/>
    <mergeCell ref="A83:A90"/>
    <mergeCell ref="B83:B90"/>
    <mergeCell ref="C129:C130"/>
    <mergeCell ref="A113:A130"/>
    <mergeCell ref="B113:B130"/>
    <mergeCell ref="C113:C114"/>
    <mergeCell ref="C115:C116"/>
    <mergeCell ref="C117:C119"/>
    <mergeCell ref="C120:C121"/>
    <mergeCell ref="C122:C123"/>
    <mergeCell ref="C124:C125"/>
    <mergeCell ref="C126:C128"/>
    <mergeCell ref="A25:A53"/>
    <mergeCell ref="B25:B53"/>
    <mergeCell ref="C25:C29"/>
    <mergeCell ref="C30:C33"/>
    <mergeCell ref="C34:C37"/>
    <mergeCell ref="C38:C41"/>
    <mergeCell ref="A3:A23"/>
    <mergeCell ref="C3:C5"/>
    <mergeCell ref="C6:C8"/>
    <mergeCell ref="C9:C11"/>
    <mergeCell ref="C12:C14"/>
    <mergeCell ref="C15:C17"/>
    <mergeCell ref="C18:C20"/>
    <mergeCell ref="C21:C23"/>
    <mergeCell ref="B3:B23"/>
    <mergeCell ref="L176:L182"/>
    <mergeCell ref="K92:K98"/>
    <mergeCell ref="K113:K130"/>
    <mergeCell ref="K198:K202"/>
    <mergeCell ref="K204:K224"/>
    <mergeCell ref="K154:K174"/>
    <mergeCell ref="K176:K182"/>
    <mergeCell ref="K132:K152"/>
    <mergeCell ref="K184:K196"/>
    <mergeCell ref="L198:L202"/>
    <mergeCell ref="L184:L196"/>
    <mergeCell ref="L132:L152"/>
    <mergeCell ref="L113:L130"/>
    <mergeCell ref="L92:L111"/>
    <mergeCell ref="L204:L224"/>
    <mergeCell ref="K100:K107"/>
    <mergeCell ref="K108:K109"/>
    <mergeCell ref="K110:K111"/>
    <mergeCell ref="J1:L1"/>
    <mergeCell ref="A132:A152"/>
    <mergeCell ref="B132:B152"/>
    <mergeCell ref="C132:C134"/>
    <mergeCell ref="C135:C136"/>
    <mergeCell ref="C137:C138"/>
    <mergeCell ref="A176:A182"/>
    <mergeCell ref="B176:B182"/>
    <mergeCell ref="A154:A174"/>
    <mergeCell ref="B154:B174"/>
    <mergeCell ref="C154:C156"/>
    <mergeCell ref="C157:C159"/>
    <mergeCell ref="C160:C162"/>
    <mergeCell ref="C163:C165"/>
    <mergeCell ref="C166:C168"/>
    <mergeCell ref="C169:C171"/>
    <mergeCell ref="C172:C174"/>
    <mergeCell ref="C139:C141"/>
    <mergeCell ref="C142:C144"/>
    <mergeCell ref="C145:C147"/>
    <mergeCell ref="C148:C151"/>
    <mergeCell ref="C176:C177"/>
    <mergeCell ref="L3:L23"/>
    <mergeCell ref="L154:L174"/>
  </mergeCells>
  <conditionalFormatting sqref="G1 H90 G316:H1048576 G2:H16 H100 G268:G273 H104:H111 G50:H54 H49 G18:H48 G17">
    <cfRule type="beginsWith" dxfId="104" priority="42" operator="beginsWith" text="1">
      <formula>LEFT(G1,LEN("1"))="1"</formula>
    </cfRule>
  </conditionalFormatting>
  <conditionalFormatting sqref="G1 H90 G316:H1048576 G2:H16 H100 G268:G273 H104:H111 G50:H54 H49 G18:H48 G17">
    <cfRule type="beginsWith" dxfId="103" priority="41" operator="beginsWith" text="2">
      <formula>LEFT(G1,LEN("2"))="2"</formula>
    </cfRule>
  </conditionalFormatting>
  <conditionalFormatting sqref="G1 H90:I90 I55:I81 G316:I1048576 I83:I89 I113:I130 G2:I3 I92:I99 H100:I100 I226:I242 I244:I257 G268:G273 I259:I276 I101:I103 H104:I111 I289:I314 G50:I54 H49:I49 G24:I48 G17 G18:H23 G4:H16 I4:I23 I198:I202">
    <cfRule type="containsText" dxfId="102" priority="40" operator="containsText" text="ok">
      <formula>NOT(ISERROR(SEARCH("ok",G1)))</formula>
    </cfRule>
  </conditionalFormatting>
  <conditionalFormatting sqref="I132:I152">
    <cfRule type="containsText" dxfId="101" priority="39" operator="containsText" text="ok">
      <formula>NOT(ISERROR(SEARCH("ok",I132)))</formula>
    </cfRule>
  </conditionalFormatting>
  <conditionalFormatting sqref="I154:I174">
    <cfRule type="beginsWith" dxfId="100" priority="22" operator="beginsWith" text="1">
      <formula>LEFT(I154,LEN("1"))="1"</formula>
    </cfRule>
  </conditionalFormatting>
  <conditionalFormatting sqref="I154:I174">
    <cfRule type="beginsWith" dxfId="99" priority="21" operator="beginsWith" text="2">
      <formula>LEFT(I154,LEN("2"))="2"</formula>
    </cfRule>
  </conditionalFormatting>
  <conditionalFormatting sqref="I154:I174">
    <cfRule type="containsText" dxfId="98" priority="20" operator="containsText" text="ok">
      <formula>NOT(ISERROR(SEARCH("ok",I154)))</formula>
    </cfRule>
  </conditionalFormatting>
  <conditionalFormatting sqref="G182">
    <cfRule type="beginsWith" dxfId="97" priority="16" operator="beginsWith" text="1">
      <formula>LEFT(G182,LEN("1"))="1"</formula>
    </cfRule>
  </conditionalFormatting>
  <conditionalFormatting sqref="G182">
    <cfRule type="beginsWith" dxfId="96" priority="15" operator="beginsWith" text="2">
      <formula>LEFT(G182,LEN("2"))="2"</formula>
    </cfRule>
  </conditionalFormatting>
  <conditionalFormatting sqref="G182">
    <cfRule type="containsText" dxfId="95" priority="14" operator="containsText" text="ok">
      <formula>NOT(ISERROR(SEARCH("ok",G182)))</formula>
    </cfRule>
  </conditionalFormatting>
  <conditionalFormatting sqref="I176:I182">
    <cfRule type="beginsWith" dxfId="94" priority="13" operator="beginsWith" text="1">
      <formula>LEFT(I176,LEN("1"))="1"</formula>
    </cfRule>
  </conditionalFormatting>
  <conditionalFormatting sqref="I176:I182">
    <cfRule type="beginsWith" dxfId="93" priority="12" operator="beginsWith" text="2">
      <formula>LEFT(I176,LEN("2"))="2"</formula>
    </cfRule>
  </conditionalFormatting>
  <conditionalFormatting sqref="I176:I182">
    <cfRule type="containsText" dxfId="92" priority="11" operator="containsText" text="ok">
      <formula>NOT(ISERROR(SEARCH("ok",I176)))</formula>
    </cfRule>
  </conditionalFormatting>
  <conditionalFormatting sqref="I184:I196">
    <cfRule type="containsText" dxfId="91" priority="4" operator="containsText" text="ok">
      <formula>NOT(ISERROR(SEARCH("ok",I184)))</formula>
    </cfRule>
  </conditionalFormatting>
  <conditionalFormatting sqref="I205">
    <cfRule type="containsText" dxfId="90" priority="3" operator="containsText" text="ok">
      <formula>NOT(ISERROR(SEARCH("ok",I205)))</formula>
    </cfRule>
  </conditionalFormatting>
  <conditionalFormatting sqref="I204">
    <cfRule type="containsText" dxfId="89" priority="2" operator="containsText" text="ok">
      <formula>NOT(ISERROR(SEARCH("ok",I204)))</formula>
    </cfRule>
  </conditionalFormatting>
  <conditionalFormatting sqref="I206:I224">
    <cfRule type="containsText" dxfId="88" priority="1" operator="containsText" text="ok">
      <formula>NOT(ISERROR(SEARCH("ok",I206)))</formula>
    </cfRule>
  </conditionalFormatting>
  <hyperlinks>
    <hyperlink ref="F55" r:id="rId1" xr:uid="{0CC9055B-7E51-4754-B213-449935F342FE}"/>
    <hyperlink ref="F56" r:id="rId2" xr:uid="{B237FFF1-C901-490B-AD76-E254D69BF595}"/>
    <hyperlink ref="F57" r:id="rId3" xr:uid="{862F70CD-C5C0-4AAC-96E9-82089A46B4E5}"/>
    <hyperlink ref="F59" r:id="rId4" xr:uid="{9A7433A9-98A4-45E2-81A8-61BEE478920C}"/>
    <hyperlink ref="F61" r:id="rId5" xr:uid="{91329118-CD3A-40F5-891C-14C6F5360092}"/>
    <hyperlink ref="F63" r:id="rId6" xr:uid="{0299FA60-AAC5-4A1E-8CF6-DAD1DF70C55E}"/>
    <hyperlink ref="F64" r:id="rId7" xr:uid="{3CE72512-B141-45F9-AEC5-AF57F0C2A137}"/>
    <hyperlink ref="F65" r:id="rId8" xr:uid="{94F80325-73F0-4E47-BAF8-6EFFB9FB0D68}"/>
    <hyperlink ref="F67" r:id="rId9" xr:uid="{86672BAE-EE6D-4BBC-AEF3-E94FB0F6C219}"/>
    <hyperlink ref="F68" r:id="rId10" xr:uid="{40D151A1-46D6-493D-A2B1-A0EB77627DD2}"/>
    <hyperlink ref="F69" r:id="rId11" xr:uid="{AB770C14-775C-4701-8D11-2F7DF9E9B838}"/>
    <hyperlink ref="F71" r:id="rId12" xr:uid="{A3BD35D6-FDC0-4B45-B00E-5BC5FE5E8798}"/>
    <hyperlink ref="F72" r:id="rId13" xr:uid="{4C57C00B-78AF-46F1-BBDF-B8B6E6F01CB7}"/>
    <hyperlink ref="F73" r:id="rId14" xr:uid="{BC8433B8-119B-4D49-9B86-D764CCA6FBEF}"/>
    <hyperlink ref="F75" r:id="rId15" xr:uid="{A24D9DA9-A5F5-41B0-85D7-ED25CEABB09E}"/>
    <hyperlink ref="F76" r:id="rId16" xr:uid="{5AF61B0B-9BAF-4DD3-9C55-C227F2C24549}"/>
    <hyperlink ref="F79" r:id="rId17" xr:uid="{76DDB4B9-758E-4B72-BB12-81C5A5DF01A6}"/>
    <hyperlink ref="F80" r:id="rId18" xr:uid="{D1469487-9A21-4DAD-8271-EA7C534CD114}"/>
    <hyperlink ref="F81" r:id="rId19" xr:uid="{AAEEEF8A-4E33-45F9-B55B-7D3A038BB150}"/>
    <hyperlink ref="F77" r:id="rId20" xr:uid="{2B8E37F7-1B39-445A-BC36-265CA26E519F}"/>
    <hyperlink ref="F58" r:id="rId21" xr:uid="{BD7FC3AE-F7E0-4A68-BC3E-D3CF04600B60}"/>
    <hyperlink ref="F62" r:id="rId22" xr:uid="{D355AAF6-2599-479C-BF26-4F045FF8BEC2}"/>
    <hyperlink ref="F66" r:id="rId23" xr:uid="{A5C4446B-AC68-40D6-8925-3120B245B83C}"/>
    <hyperlink ref="F70" r:id="rId24" xr:uid="{790E70D4-1171-4F43-AD4B-9DDDD0E5A978}"/>
    <hyperlink ref="F74" r:id="rId25" xr:uid="{0FC2335D-DE6C-47F8-AE4D-26980125C0BE}"/>
    <hyperlink ref="F78" r:id="rId26" xr:uid="{71FC7CF8-ADC8-4012-BDCD-167C4BBFF516}"/>
    <hyperlink ref="F60" r:id="rId27" xr:uid="{E15628FE-D125-4475-A2F5-880B84718D1B}"/>
    <hyperlink ref="F113" r:id="rId28" xr:uid="{0EFC33EB-676E-4AF8-9337-9E26B0B38053}"/>
    <hyperlink ref="F114" r:id="rId29" xr:uid="{2CFDF173-FC47-4CC9-88E3-74C12545D246}"/>
    <hyperlink ref="F120" r:id="rId30" xr:uid="{5279E668-961B-4658-9706-4EE316892E4A}"/>
    <hyperlink ref="F121" r:id="rId31" xr:uid="{58C76FD5-CE97-40EE-B443-E988C1265DA0}"/>
    <hyperlink ref="F115" r:id="rId32" xr:uid="{68EF26BD-89BD-47A6-9870-88D462F0C8CC}"/>
    <hyperlink ref="F119" r:id="rId33" xr:uid="{5E86A76B-1828-4BA0-B7DB-E77EF563F4B3}"/>
    <hyperlink ref="F125" r:id="rId34" xr:uid="{B58F08C8-6CE3-4F29-8067-6DABBE26449D}"/>
    <hyperlink ref="F118" r:id="rId35" xr:uid="{C3522DEF-D8DA-4BF9-A265-451CF27CDD8B}"/>
    <hyperlink ref="F123" r:id="rId36" xr:uid="{0AFAA7ED-3E50-4B8B-9CD3-BD3A1586819F}"/>
    <hyperlink ref="F117" r:id="rId37" xr:uid="{BE6EA89F-8D3D-4420-A42B-4F434920C414}"/>
    <hyperlink ref="F126" r:id="rId38" xr:uid="{B007DA40-B2E3-4CF6-9DBE-39E74BE6B93A}"/>
    <hyperlink ref="F122" r:id="rId39" xr:uid="{5E07CE25-3FA2-4377-82A8-57B8D33453F7}"/>
    <hyperlink ref="F124" r:id="rId40" xr:uid="{72C602A1-89D3-4A59-9C9B-88F8D26FF1D8}"/>
    <hyperlink ref="F127" r:id="rId41" xr:uid="{5B43698E-55CE-496F-9E11-63FFF9E7ECC2}"/>
    <hyperlink ref="F128" r:id="rId42" xr:uid="{8826E8F6-C32F-4068-ABDF-5613374A8B45}"/>
    <hyperlink ref="F129" r:id="rId43" xr:uid="{C4047216-0A29-4521-8C99-902723983CA5}"/>
    <hyperlink ref="F130" r:id="rId44" xr:uid="{125CBFBD-8FEA-42AE-9A15-9E7CC3A9CF84}"/>
    <hyperlink ref="F116" r:id="rId45" xr:uid="{3F146169-B022-48AC-BB26-0181D7E4F195}"/>
    <hyperlink ref="F25" r:id="rId46" xr:uid="{EE8D0051-B8E6-4E78-9A12-6037B63C0AFC}"/>
    <hyperlink ref="F26" r:id="rId47" xr:uid="{1ECFE677-13ED-4C1C-B403-A593F3E640F8}"/>
    <hyperlink ref="F27" r:id="rId48" xr:uid="{0FA9FC42-90AB-494E-92F2-5F387BBE4FC3}"/>
    <hyperlink ref="F28" r:id="rId49" xr:uid="{5F8A62F3-19F8-43D9-8986-4707EC7434F5}"/>
    <hyperlink ref="F29" r:id="rId50" xr:uid="{C00B4609-D990-4D4D-AC14-8D48767F8761}"/>
    <hyperlink ref="F30" r:id="rId51" xr:uid="{AF326FE7-D42B-44CE-9469-C045D0239A9C}"/>
    <hyperlink ref="F31" r:id="rId52" xr:uid="{AD0365FA-167C-4095-B76E-7FC0FC9D95CC}"/>
    <hyperlink ref="F32" r:id="rId53" xr:uid="{97B1544B-002F-4791-B5AB-5C033F1BCE6E}"/>
    <hyperlink ref="F33" r:id="rId54" xr:uid="{2658F38E-38AE-4E42-B540-6882FA9053FA}"/>
    <hyperlink ref="F34" r:id="rId55" xr:uid="{590A80D5-247C-4E5A-BFD8-90AAAD8FA2A8}"/>
    <hyperlink ref="F35" r:id="rId56" xr:uid="{064B87AA-5876-4AED-ABBE-14F4B3B698FC}"/>
    <hyperlink ref="F36" r:id="rId57" xr:uid="{4A10C642-DF9E-43D8-920F-485C15817363}"/>
    <hyperlink ref="F37" r:id="rId58" xr:uid="{0507243D-F18B-4AE4-B6C4-BC146353F448}"/>
    <hyperlink ref="F38" r:id="rId59" xr:uid="{EB4BAE27-8B55-4551-9BF4-06838963655B}"/>
    <hyperlink ref="F39" r:id="rId60" xr:uid="{239E14ED-A609-478E-8AEE-89C018D58608}"/>
    <hyperlink ref="F40" r:id="rId61" xr:uid="{7B13B684-A1C6-45BD-B3B0-054B41FEDE59}"/>
    <hyperlink ref="F41" r:id="rId62" xr:uid="{E8587B65-843A-4C0B-AD3C-3F881CB2A499}"/>
    <hyperlink ref="F42" r:id="rId63" xr:uid="{223EEA53-72B4-4751-BD19-D5A41D5BF960}"/>
    <hyperlink ref="F43" r:id="rId64" xr:uid="{3BBD731F-EEB8-411D-A37F-812359ABE4DA}"/>
    <hyperlink ref="F44" r:id="rId65" xr:uid="{01598F8B-992E-42CB-8581-F979E73B428E}"/>
    <hyperlink ref="F45" r:id="rId66" xr:uid="{7F811B70-CA63-4A6E-994A-146E08DF96FA}"/>
    <hyperlink ref="F46" r:id="rId67" xr:uid="{019B397C-928D-487C-97A5-30A542B3B54E}"/>
    <hyperlink ref="F47" r:id="rId68" xr:uid="{458A6C11-74B7-4170-B9F2-7D3386936194}"/>
    <hyperlink ref="F48" r:id="rId69" xr:uid="{4733FB6A-E779-4C96-9F47-BBDE8E414501}"/>
    <hyperlink ref="F49" r:id="rId70" xr:uid="{1F94986B-5C1A-489E-AE93-644912B0B768}"/>
    <hyperlink ref="F50" r:id="rId71" xr:uid="{63940DFE-7152-494B-85AD-CCF25F0875BC}"/>
    <hyperlink ref="F51" r:id="rId72" xr:uid="{1C123EB2-5F93-434B-A481-4B8D641BF13C}"/>
    <hyperlink ref="F52" r:id="rId73" xr:uid="{93A0BC85-2D67-4FA2-8B32-211CE705C2FD}"/>
    <hyperlink ref="F53" r:id="rId74" xr:uid="{BD7F4D72-9FDC-43FC-86A7-01F5E949C18D}"/>
    <hyperlink ref="G25" r:id="rId75" xr:uid="{154ADEBF-14C3-490B-BA90-BAE05B8A9377}"/>
    <hyperlink ref="G26" r:id="rId76" xr:uid="{1C7810B4-DD94-418F-97B5-4319BA9587E0}"/>
    <hyperlink ref="G27" r:id="rId77" xr:uid="{3FE24451-0651-4ECF-8D99-D8E130B8E60D}"/>
    <hyperlink ref="G28" r:id="rId78" xr:uid="{BE42E461-BE85-4790-945C-AE078DE49BF6}"/>
    <hyperlink ref="G29" r:id="rId79" xr:uid="{8443C53A-08C2-469B-BC28-B35CB8840F22}"/>
    <hyperlink ref="G30" r:id="rId80" xr:uid="{EF61B845-C456-4782-BC92-E849B2485110}"/>
    <hyperlink ref="G31" r:id="rId81" xr:uid="{1C0BBF1D-F22C-429A-8A35-2019D302F8B4}"/>
    <hyperlink ref="G32" r:id="rId82" xr:uid="{B11FB72C-962D-4B7E-9E3D-B02AAAA34524}"/>
    <hyperlink ref="G33" r:id="rId83" xr:uid="{259BC3F8-66D3-40FE-AB35-806D8C4F2B55}"/>
    <hyperlink ref="G34" r:id="rId84" xr:uid="{937FCB94-4003-40F1-8263-1F84BE3F0DDF}"/>
    <hyperlink ref="G35" r:id="rId85" xr:uid="{2B60AA8B-240A-4EE9-9577-1CFBEA459FFF}"/>
    <hyperlink ref="G36" r:id="rId86" xr:uid="{905DF282-42B3-431F-B3D0-559B564F0677}"/>
    <hyperlink ref="G37" r:id="rId87" xr:uid="{461DE1CE-994B-44DE-9A05-F06FB3D82E64}"/>
    <hyperlink ref="G38" r:id="rId88" xr:uid="{06518D96-D744-44BD-A1B8-9CB32A9224DB}"/>
    <hyperlink ref="G39" r:id="rId89" xr:uid="{2DBF195A-903B-4ACC-8151-341F10B1DAA7}"/>
    <hyperlink ref="G40" r:id="rId90" xr:uid="{6DE5D4EB-E6FF-41D3-B6CC-1D99B4E891BF}"/>
    <hyperlink ref="G42" r:id="rId91" xr:uid="{2DDE7F9D-61B9-47A4-A887-8F7C96E31964}"/>
    <hyperlink ref="G43" r:id="rId92" xr:uid="{1759088D-3EC7-4462-BEF4-06B24E3563D4}"/>
    <hyperlink ref="G44" r:id="rId93" xr:uid="{0977A43E-D3C0-4564-B5EE-DF6A7F54C7CD}"/>
    <hyperlink ref="G45" r:id="rId94" xr:uid="{8D9FAA5F-93FA-4E7A-A885-5E7D791C1784}"/>
    <hyperlink ref="G46" r:id="rId95" xr:uid="{D8D4B905-2D51-43DC-BEDD-EE4A11096BA9}"/>
    <hyperlink ref="G47" r:id="rId96" xr:uid="{2C64E006-C957-4C93-9B58-1364DC92035D}"/>
    <hyperlink ref="G48" r:id="rId97" xr:uid="{ED37C120-BB36-4625-B486-DC77B3BA37BB}"/>
    <hyperlink ref="G50" r:id="rId98" xr:uid="{F14BE837-BA7A-4EB6-AC55-9B4596D50984}"/>
    <hyperlink ref="G51" r:id="rId99" xr:uid="{61BA4CD6-21D0-4AAD-8D8D-F1B133059E1E}"/>
    <hyperlink ref="G52" r:id="rId100" xr:uid="{BB20B653-4910-48BD-BCEE-91C14F473E76}"/>
    <hyperlink ref="G53" r:id="rId101" xr:uid="{87445F6C-671B-497E-A823-7588C4F5F0A1}"/>
    <hyperlink ref="H25" r:id="rId102" xr:uid="{9B7AC0C9-D074-4BF9-8742-61CAA69B7F2D}"/>
    <hyperlink ref="H27" r:id="rId103" xr:uid="{F64BA191-B63B-493E-8562-9D2389F00FD6}"/>
    <hyperlink ref="H29" r:id="rId104" xr:uid="{F7509B5B-48AB-45EE-9AFE-47B740517FCA}"/>
    <hyperlink ref="H30" r:id="rId105" xr:uid="{E0320609-D31A-4CEB-A531-F5E65BBD004C}"/>
    <hyperlink ref="H31" r:id="rId106" xr:uid="{BB4C0C11-AFC5-4808-BC08-465E742608B1}"/>
    <hyperlink ref="H32" r:id="rId107" xr:uid="{DD1B793F-8893-48C8-9188-7EBAD6524F12}"/>
    <hyperlink ref="H33" r:id="rId108" xr:uid="{032E7DD0-052A-4B77-B463-8032A1B4F889}"/>
    <hyperlink ref="H34" r:id="rId109" xr:uid="{3BF0BBF2-F2BD-4196-9B11-7991EB666984}"/>
    <hyperlink ref="H35" r:id="rId110" xr:uid="{A7835250-C7FB-4702-9DCD-B01009DB5924}"/>
    <hyperlink ref="H36" r:id="rId111" xr:uid="{013F20B4-078D-4EEE-901A-8E4B41A754F2}"/>
    <hyperlink ref="H37" r:id="rId112" xr:uid="{98474DA5-A965-4CA4-8954-A0ADD0BA6262}"/>
    <hyperlink ref="H38" r:id="rId113" xr:uid="{9C336772-31AF-4AE6-8C83-F9E1B26951F2}"/>
    <hyperlink ref="H39" r:id="rId114" xr:uid="{A32A77DD-0F4F-4348-8F99-D087AA2B661F}"/>
    <hyperlink ref="H40" r:id="rId115" xr:uid="{C61D1341-534C-49E4-8649-5A1D99A2B621}"/>
    <hyperlink ref="H42" r:id="rId116" xr:uid="{E2521BA2-5D1A-4B2C-92A0-7E9E2E555613}"/>
    <hyperlink ref="H43" r:id="rId117" xr:uid="{C3977552-BA27-490E-95C1-73B5B404210D}"/>
    <hyperlink ref="H44" r:id="rId118" xr:uid="{B5CCDE28-2C24-486F-8D62-1FB94BAA198C}"/>
    <hyperlink ref="H45" r:id="rId119" xr:uid="{A05DA104-4F0F-489D-ADD2-4CD93608A3A6}"/>
    <hyperlink ref="H46" r:id="rId120" xr:uid="{15CDDA05-0BBE-4017-8A92-2153E14CFEC4}"/>
    <hyperlink ref="H47" r:id="rId121" xr:uid="{F0DE6637-4C46-4F8E-8EE7-40B44045B588}"/>
    <hyperlink ref="H48" r:id="rId122" xr:uid="{6D9A9459-F0C6-4BCE-B97E-552C79FC2743}"/>
    <hyperlink ref="H50" r:id="rId123" xr:uid="{A3DF8630-E3C8-4CDF-BF36-B07754446213}"/>
    <hyperlink ref="H52" r:id="rId124" xr:uid="{FC0BFCE3-AC58-40C0-ACDD-FD4715D4EE57}"/>
    <hyperlink ref="F137" r:id="rId125" xr:uid="{7C5EAADD-0ED0-4519-9AEE-287536464945}"/>
    <hyperlink ref="F138" r:id="rId126" xr:uid="{5131E85F-2089-4E39-82F6-F9335575C627}"/>
    <hyperlink ref="F139" r:id="rId127" xr:uid="{390644DA-5606-4CFB-B242-96CB7F77AAA7}"/>
    <hyperlink ref="F140" r:id="rId128" xr:uid="{876C1DF8-BD4B-436E-815D-D138C8E47728}"/>
    <hyperlink ref="F141" r:id="rId129" xr:uid="{106B7F5E-D996-4B2D-A066-208B14BCF4B9}"/>
    <hyperlink ref="F132" r:id="rId130" xr:uid="{E41F3EE7-E1DC-4E31-A9E4-A4033BD48174}"/>
    <hyperlink ref="F133" r:id="rId131" xr:uid="{2F0798BA-8AA4-4E07-BD08-1693A0FB4175}"/>
    <hyperlink ref="F134" r:id="rId132" xr:uid="{C4D78984-A86A-41A8-BC58-AAE9ECA31C96}"/>
    <hyperlink ref="F135" r:id="rId133" xr:uid="{C729D78F-C5D5-4475-9655-14BD97DB12DE}"/>
    <hyperlink ref="F136" r:id="rId134" xr:uid="{E95A9C6A-13CF-4C6C-9B36-B21CADFD2F8F}"/>
    <hyperlink ref="F142" r:id="rId135" xr:uid="{EC26BCD8-CC6C-4994-9A28-79E6ACEED1BA}"/>
    <hyperlink ref="F143" r:id="rId136" xr:uid="{58722BF2-1CD3-43D3-9948-DFECE3E0BF67}"/>
    <hyperlink ref="F144" r:id="rId137" xr:uid="{BF3277CA-6507-42ED-84C4-238836036054}"/>
    <hyperlink ref="F145" r:id="rId138" xr:uid="{792F6643-037D-4B76-BD73-EA2F24D3AEFD}"/>
    <hyperlink ref="F146" r:id="rId139" xr:uid="{8466DA97-EA2B-4899-BEB4-A1A906949370}"/>
    <hyperlink ref="F147" r:id="rId140" xr:uid="{29C645B6-3C7F-4671-84E3-F0164FB0A879}"/>
    <hyperlink ref="F148" r:id="rId141" xr:uid="{95A44FFF-AF67-4349-B463-9E1D717D5E23}"/>
    <hyperlink ref="F149" r:id="rId142" xr:uid="{D9589CED-9C25-42A5-BCC9-96A24F641695}"/>
    <hyperlink ref="F150" r:id="rId143" xr:uid="{4F204D33-C553-49F5-B490-08CD5A78E767}"/>
    <hyperlink ref="F151" r:id="rId144" xr:uid="{D8B09F4F-D250-441D-8C05-F2FC34017119}"/>
    <hyperlink ref="F152" r:id="rId145" xr:uid="{FFC70988-8167-4D79-8EB2-1F6A5E1CAB18}"/>
    <hyperlink ref="F184" r:id="rId146" xr:uid="{34000A9F-9A9E-4672-AB06-3B77C473032D}"/>
    <hyperlink ref="F185" r:id="rId147" xr:uid="{A695D77A-FCC6-4F92-9D9E-316F12B7AE2B}"/>
    <hyperlink ref="F188" r:id="rId148" xr:uid="{CA18AE4C-0612-4D15-9040-5CC385449776}"/>
    <hyperlink ref="F190" r:id="rId149" xr:uid="{71770AB5-9D62-4D01-A973-E93ABAB49BD1}"/>
    <hyperlink ref="F186" r:id="rId150" xr:uid="{D11CD1DE-CA4E-4B27-95AD-72A1BC8016BF}"/>
    <hyperlink ref="F192" r:id="rId151" xr:uid="{6D005A98-B372-43D4-90B1-9BC5FA5AA1AF}"/>
    <hyperlink ref="F195" r:id="rId152" xr:uid="{F7B49843-C311-4973-8213-04750EF9DB2D}"/>
    <hyperlink ref="F191" r:id="rId153" xr:uid="{BEB9B829-DFC7-418F-94C5-5F31091C7F21}"/>
    <hyperlink ref="F187" r:id="rId154" xr:uid="{BD0BBA5A-833F-4857-92EC-176FE785F857}"/>
    <hyperlink ref="F189" r:id="rId155" xr:uid="{670BF912-D8D1-4F3D-A6C3-815E744853BA}"/>
    <hyperlink ref="F194" r:id="rId156" xr:uid="{108133D9-0E01-45AE-9E1A-DF4E7AB601F6}"/>
    <hyperlink ref="F196" r:id="rId157" xr:uid="{BE2145C4-C30C-48EA-AC67-014CD22AFAC3}"/>
    <hyperlink ref="F193" r:id="rId158" xr:uid="{208D60A6-FB74-4DB4-8D00-36386B580A96}"/>
    <hyperlink ref="F204" r:id="rId159" xr:uid="{02161DCF-814C-42A7-B7BE-386EB7232A6B}"/>
    <hyperlink ref="F205" r:id="rId160" xr:uid="{069734AF-F8AA-4380-80D1-CE2ECA5CE332}"/>
    <hyperlink ref="F206" r:id="rId161" xr:uid="{1D75B89E-0BB0-4E75-9333-93B3D8E4AF75}"/>
    <hyperlink ref="F207" r:id="rId162" xr:uid="{61AB8D71-C43C-4CF0-B1A2-36A3861BA809}"/>
    <hyperlink ref="F208" r:id="rId163" xr:uid="{0AA047EC-834F-42E2-923F-84912651C979}"/>
    <hyperlink ref="F209" r:id="rId164" xr:uid="{55327BD7-F2F3-49BE-84D3-6A36292BD1EB}"/>
    <hyperlink ref="F210" r:id="rId165" xr:uid="{7846F1C2-4AD3-410B-A07B-9DF711F485CF}"/>
    <hyperlink ref="F211" r:id="rId166" xr:uid="{6C5CE5AD-521E-47CC-9362-C83766D5ECFA}"/>
    <hyperlink ref="F212" r:id="rId167" xr:uid="{838278FD-62CA-421C-96D4-94935D1E3284}"/>
    <hyperlink ref="F213" r:id="rId168" xr:uid="{752ECF3A-97AC-444B-8BDF-EE57566B2528}"/>
    <hyperlink ref="F214" r:id="rId169" xr:uid="{7F995658-5C86-441C-92EF-E521D327B1B1}"/>
    <hyperlink ref="F215" r:id="rId170" xr:uid="{70A1FE6B-2ED2-47BC-801E-939B9044177F}"/>
    <hyperlink ref="F218" r:id="rId171" xr:uid="{94E2AACA-CCCC-410B-B4A5-0F0E257FE767}"/>
    <hyperlink ref="F219" r:id="rId172" xr:uid="{801EE7C7-5763-4083-8D6A-2E8FF211EB5C}"/>
    <hyperlink ref="F220" r:id="rId173" xr:uid="{BA30B212-E247-49D2-85FA-131A45750A7C}"/>
    <hyperlink ref="F216" r:id="rId174" xr:uid="{DB12492F-FF90-43EC-B112-527B959BFA76}"/>
    <hyperlink ref="F217" r:id="rId175" xr:uid="{E77A0B4C-FEDC-43CF-9173-252EAE57A25B}"/>
    <hyperlink ref="F221" r:id="rId176" xr:uid="{FA7EDAFD-1AE8-4623-8016-737DBD8EEF77}"/>
    <hyperlink ref="F222" r:id="rId177" xr:uid="{CC79F5F5-6B45-4904-9A18-7AF12C5D2F2C}"/>
    <hyperlink ref="F223" r:id="rId178" xr:uid="{2705E765-99AD-409D-B0CF-8462A10073CC}"/>
    <hyperlink ref="F224" r:id="rId179" xr:uid="{15D7FFCE-E662-4EC5-ABC4-E610CF78F183}"/>
    <hyperlink ref="H26" r:id="rId180" xr:uid="{5EA529D0-735F-4105-BA84-5B9D477F55C1}"/>
    <hyperlink ref="H28" r:id="rId181" xr:uid="{4D833D71-B2CB-4FC7-B8AF-47E2097DFC44}"/>
    <hyperlink ref="H41" r:id="rId182" xr:uid="{1F65B18D-7DA8-4C8D-97A6-9D88BBC84F71}"/>
    <hyperlink ref="H51" r:id="rId183" xr:uid="{6CDE5C72-E5B2-4158-93A9-4D0B53CCCE19}"/>
    <hyperlink ref="F83" r:id="rId184" xr:uid="{4698BBAE-42D3-4E9D-B56A-2371F2182202}"/>
    <hyperlink ref="F84" r:id="rId185" xr:uid="{65C8285E-26CD-4782-A2E5-D79D643EBE57}"/>
    <hyperlink ref="F85" r:id="rId186" xr:uid="{22D4563C-CA9F-4191-AF36-80340C44963E}"/>
    <hyperlink ref="F86" r:id="rId187" xr:uid="{BDCA9819-BD0A-4E73-8C29-EE855AD69AFA}"/>
    <hyperlink ref="F87" r:id="rId188" xr:uid="{EFEE8760-78E3-423E-9060-B568B0FD7194}"/>
    <hyperlink ref="F88" r:id="rId189" xr:uid="{5BBC99B5-82FD-4C72-860E-527661334B44}"/>
    <hyperlink ref="F89" r:id="rId190" xr:uid="{4A857EE6-13CC-47FA-83BF-A973CFD01D2F}"/>
    <hyperlink ref="F90" r:id="rId191" xr:uid="{7C383D0E-82E3-4D2B-9E1E-4A354829C9DD}"/>
    <hyperlink ref="G83" r:id="rId192" xr:uid="{E078F4CA-AF9D-4571-83E6-CF99037E4D59}"/>
    <hyperlink ref="G84" r:id="rId193" xr:uid="{6A4033D1-D28A-4184-8A29-557F37CCA461}"/>
    <hyperlink ref="G85" r:id="rId194" xr:uid="{98F5D7A2-35E1-417A-8545-A7F4060665EA}"/>
    <hyperlink ref="G86" r:id="rId195" xr:uid="{A8F01BF3-92F1-4071-80B3-90B785A3BFB3}"/>
    <hyperlink ref="G87" r:id="rId196" xr:uid="{CCB3263C-4B9D-465F-B8CC-FB7B3B9F99EC}"/>
    <hyperlink ref="G88" r:id="rId197" xr:uid="{6A6C2CEC-940F-4DF4-90F8-C9A866E2EE00}"/>
    <hyperlink ref="G89" r:id="rId198" xr:uid="{E8174E89-A232-4292-A40A-1969C53F7817}"/>
    <hyperlink ref="G90" r:id="rId199" xr:uid="{C6001DD0-5F12-4A00-A957-2FCEC5FDB785}"/>
    <hyperlink ref="G55" r:id="rId200" xr:uid="{6A4CEA44-3294-4072-A27D-4DF27ABCD337}"/>
    <hyperlink ref="G56" r:id="rId201" xr:uid="{F15145A1-64A1-441D-8EDD-6541D6E4025A}"/>
    <hyperlink ref="G57" r:id="rId202" xr:uid="{A81AE8E4-300F-45E0-BB1E-8128B3E19B4D}"/>
    <hyperlink ref="G58" r:id="rId203" xr:uid="{BD6DC699-F624-4D3D-BFDA-1CC7E7BDA6B9}"/>
    <hyperlink ref="G59" r:id="rId204" xr:uid="{974FE98C-6E90-42B2-8527-A3B57B143C81}"/>
    <hyperlink ref="G60" r:id="rId205" xr:uid="{5B0DFDE4-8BC6-4C3C-BA4A-BD8EACFB50D0}"/>
    <hyperlink ref="G61" r:id="rId206" xr:uid="{F6E70106-58F5-4615-A169-1D07BA53D2FF}"/>
    <hyperlink ref="G62" r:id="rId207" xr:uid="{AD0F4338-44A0-414D-B86B-DCFD5C432E7B}"/>
    <hyperlink ref="G63" r:id="rId208" xr:uid="{306EA5E3-69DE-4E54-B712-946F0DF264ED}"/>
    <hyperlink ref="G64" r:id="rId209" xr:uid="{1DCA04F1-29FE-49F6-B7E7-A5F8BCEB74AC}"/>
    <hyperlink ref="G65" r:id="rId210" xr:uid="{FC0F7C7D-30F1-40F5-8FFA-9533AB0FF534}"/>
    <hyperlink ref="G66" r:id="rId211" xr:uid="{10FA1250-B558-4CE9-B8DA-770980911EBF}"/>
    <hyperlink ref="G67" r:id="rId212" xr:uid="{0DCBB2C9-6F77-4650-9DB6-871A273DA6AF}"/>
    <hyperlink ref="G68" r:id="rId213" xr:uid="{3216C027-92F2-4C99-85CB-815934505B9D}"/>
    <hyperlink ref="G69" r:id="rId214" xr:uid="{BD2EF7AB-D35C-48C2-AEAF-AAB3C52619A9}"/>
    <hyperlink ref="G70" r:id="rId215" xr:uid="{EBFBEE07-7226-47ED-8F18-1ECEBA4DB6A3}"/>
    <hyperlink ref="G71" r:id="rId216" xr:uid="{01E2A2C0-D337-43DF-A762-66EDE283D04A}"/>
    <hyperlink ref="G72" r:id="rId217" xr:uid="{4CE7B24C-681B-4ECD-B8B5-89475AC64AF0}"/>
    <hyperlink ref="G73" r:id="rId218" xr:uid="{8F3FA8F3-5739-45F0-AE94-27D2F039EA60}"/>
    <hyperlink ref="G74" r:id="rId219" xr:uid="{CAF18C42-F188-4E6E-9B1E-3FB6EEC3EEF0}"/>
    <hyperlink ref="G75" r:id="rId220" xr:uid="{1C1C164E-4A02-4CA6-98C5-ECAC099AFFF6}"/>
    <hyperlink ref="G76" r:id="rId221" xr:uid="{073FFF55-E6C9-42F9-B857-A0B223D87A7A}"/>
    <hyperlink ref="G77" r:id="rId222" xr:uid="{049CB1C4-A195-454A-90F1-ABD56DEB5430}"/>
    <hyperlink ref="G78" r:id="rId223" xr:uid="{9325BE60-F751-4DCB-A456-930B2410B80A}"/>
    <hyperlink ref="G79" r:id="rId224" xr:uid="{ECF28652-5B50-4DC0-9558-41C930868A5D}"/>
    <hyperlink ref="G80" r:id="rId225" xr:uid="{AB9B51C4-B967-4E07-80DF-24CA59985177}"/>
    <hyperlink ref="G81" r:id="rId226" xr:uid="{B45DAA76-6F7D-4C58-83F5-01F1F8EA8390}"/>
    <hyperlink ref="G113" r:id="rId227" xr:uid="{CE9E0B3F-DEDC-43B7-9F2C-6D1C61E781F5}"/>
    <hyperlink ref="G114" r:id="rId228" xr:uid="{05C7808A-15B5-49BE-BB50-FFDE2FB855E4}"/>
    <hyperlink ref="G115" r:id="rId229" xr:uid="{9F961A3B-3AB3-4F74-A113-BA02268CFD7F}"/>
    <hyperlink ref="G116" r:id="rId230" xr:uid="{F984CFF3-0220-4B57-983B-308CD55E009A}"/>
    <hyperlink ref="G118" r:id="rId231" xr:uid="{0FA965B9-9FC6-4461-B2F0-EF1D0C8F72D6}"/>
    <hyperlink ref="G119" r:id="rId232" xr:uid="{EC7662EE-18A1-4DFA-86E6-EF77C7C45905}"/>
    <hyperlink ref="G120" r:id="rId233" xr:uid="{ED37F14B-5DB8-4803-94DE-EE14C601B045}"/>
    <hyperlink ref="G121" r:id="rId234" xr:uid="{AACAD136-E2D8-4538-9E71-16C4195969D3}"/>
    <hyperlink ref="G122" r:id="rId235" xr:uid="{22551E7B-838A-4B9C-A429-1531BAB1E454}"/>
    <hyperlink ref="G123" r:id="rId236" xr:uid="{AF041494-B09D-44BF-BC41-78CABCC3D1C0}"/>
    <hyperlink ref="G124" r:id="rId237" xr:uid="{229DC679-9EEF-4591-97E9-A78EDCF95066}"/>
    <hyperlink ref="G125" r:id="rId238" xr:uid="{7A60B34F-3651-48D1-93B1-E406C1F5FF30}"/>
    <hyperlink ref="G127" r:id="rId239" xr:uid="{1D14E0C5-CBC6-45A1-92DA-4EFCB16A4EF4}"/>
    <hyperlink ref="G128" r:id="rId240" xr:uid="{A4359973-A01F-4141-90B2-0EA9AD7066F0}"/>
    <hyperlink ref="G129" r:id="rId241" xr:uid="{CF2B56D8-9A6E-46E2-8069-707B88F8799A}"/>
    <hyperlink ref="G130" r:id="rId242" xr:uid="{6CDCB258-84A3-4E36-9D59-F0057E442B97}"/>
    <hyperlink ref="G133" r:id="rId243" xr:uid="{05174B4C-3F11-4F05-86E7-031ED85410C6}"/>
    <hyperlink ref="G134" r:id="rId244" xr:uid="{EF2826BB-CE36-4207-8CCC-D89FBA868221}"/>
    <hyperlink ref="G135" r:id="rId245" xr:uid="{DCE754D5-59E6-405E-BD51-221EFA856043}"/>
    <hyperlink ref="G136" r:id="rId246" xr:uid="{D68D70D8-3DEC-4382-980F-33CBCF443398}"/>
    <hyperlink ref="G137" r:id="rId247" xr:uid="{BD0D1ACC-EB77-44D2-BD40-9C72B65F238E}"/>
    <hyperlink ref="G138" r:id="rId248" xr:uid="{CCC2104A-A3CE-4276-9017-6CED7833E750}"/>
    <hyperlink ref="G139" r:id="rId249" xr:uid="{2CE56676-EDA7-4AC8-AEF0-277D082D4F91}"/>
    <hyperlink ref="G140" r:id="rId250" xr:uid="{F146F303-9B9E-4AAB-B55F-8E17F6404946}"/>
    <hyperlink ref="F92" r:id="rId251" xr:uid="{867CA4B5-EACA-4D3C-AE24-0B2191C2E683}"/>
    <hyperlink ref="F93" r:id="rId252" xr:uid="{2E83FCC9-435F-46A8-B2E6-1D7F7FE9F610}"/>
    <hyperlink ref="F94" r:id="rId253" xr:uid="{C2A9AF65-3563-4AA0-8F52-BAF53C903F24}"/>
    <hyperlink ref="F95" r:id="rId254" xr:uid="{0227B043-2918-4363-A7D9-44201AA3BB56}"/>
    <hyperlink ref="F96" r:id="rId255" xr:uid="{D601199C-6722-44BC-B732-72F9E60B9488}"/>
    <hyperlink ref="F97" r:id="rId256" xr:uid="{C321C873-24DD-4217-B433-7CEC57B8A86C}"/>
    <hyperlink ref="F98" r:id="rId257" xr:uid="{99C62453-3CAC-4A75-BCC5-4088092BAB28}"/>
    <hyperlink ref="G141" r:id="rId258" xr:uid="{6F93C8FC-D1ED-4C93-A9CF-15B3990D03AE}"/>
    <hyperlink ref="G142" r:id="rId259" xr:uid="{36B0C427-B995-42C4-8D0F-FD5B97AF6D9C}"/>
    <hyperlink ref="G143" r:id="rId260" xr:uid="{1CBC3434-2D83-412F-8B14-FE96BCA70CF7}"/>
    <hyperlink ref="G144" r:id="rId261" xr:uid="{216AE6F8-7D37-4B5C-9034-E9010836D7F8}"/>
    <hyperlink ref="G145" r:id="rId262" xr:uid="{199D9C28-4FD0-4A10-89B5-DC96FB1112DA}"/>
    <hyperlink ref="G146" r:id="rId263" xr:uid="{0D2922B5-CF6F-458C-A2FB-8DBB720C1CB8}"/>
    <hyperlink ref="G147" r:id="rId264" xr:uid="{D519E2B0-B70F-4A08-811B-F6D0D90555EC}"/>
    <hyperlink ref="G148" r:id="rId265" xr:uid="{FC9ACDF7-933F-412F-B4C2-FD48E46F2887}"/>
    <hyperlink ref="G149" r:id="rId266" xr:uid="{B52BB778-6B9D-47AA-80BB-CB62DD5C720F}"/>
    <hyperlink ref="G150" r:id="rId267" xr:uid="{D4E118E6-749D-4742-92C4-82D4CBE46E5B}"/>
    <hyperlink ref="G151" r:id="rId268" xr:uid="{AA5AE1CF-50F4-4A4A-A485-DA98A1AB0B28}"/>
    <hyperlink ref="G152" r:id="rId269" xr:uid="{0C6AD7FF-F1D6-4536-982C-DB5AA5711497}"/>
    <hyperlink ref="F198" r:id="rId270" xr:uid="{E06C34C9-D4FE-4C68-A8E2-E6F2A6BAB473}"/>
    <hyperlink ref="F199" r:id="rId271" xr:uid="{76C2C52B-FAFE-4FE2-AE37-1BC112DA3F7B}"/>
    <hyperlink ref="F200" r:id="rId272" xr:uid="{37171683-4DF0-498F-A762-64CB4030AE4B}"/>
    <hyperlink ref="F201" r:id="rId273" xr:uid="{88B78E2D-F0E2-4693-A981-D74FFF4496D8}"/>
    <hyperlink ref="F202" r:id="rId274" xr:uid="{545046DE-DDBE-449F-BE2E-6CC795065395}"/>
    <hyperlink ref="G198" r:id="rId275" xr:uid="{E1B1AF7A-69C5-43B9-A8AC-F2ABF600D52D}"/>
    <hyperlink ref="G199" r:id="rId276" xr:uid="{E8C82989-7A6F-4A31-B491-BB7DD20C857B}"/>
    <hyperlink ref="G200" r:id="rId277" xr:uid="{8CF64103-8CB5-4EA2-BA61-2727E275A29A}"/>
    <hyperlink ref="G201" r:id="rId278" xr:uid="{08101E84-D984-44BC-8592-A3FAADAF9E67}"/>
    <hyperlink ref="G202" r:id="rId279" xr:uid="{34A2938F-E956-4ED6-B5D3-89DF8F710BCA}"/>
    <hyperlink ref="G92" r:id="rId280" xr:uid="{6A1132F8-063D-4511-B977-18F319F75EB0}"/>
    <hyperlink ref="G93" r:id="rId281" xr:uid="{C207A846-E4A3-4E90-AAAB-6FFC32EED090}"/>
    <hyperlink ref="G94" r:id="rId282" xr:uid="{6E06070C-9C71-4F36-9F8D-52AB17F6A216}"/>
    <hyperlink ref="G95" r:id="rId283" xr:uid="{9F692218-4305-475D-8F57-324DB1A26837}"/>
    <hyperlink ref="G96" r:id="rId284" xr:uid="{10254CC2-01B2-47A6-A77F-86C540F7BCFB}"/>
    <hyperlink ref="G98" r:id="rId285" xr:uid="{280C5FB1-AB53-42C3-9F4C-D466AA2EB0A6}"/>
    <hyperlink ref="H55" r:id="rId286" xr:uid="{0988C89A-D1F2-41A7-9F3B-FB577EA47939}"/>
    <hyperlink ref="H56" r:id="rId287" xr:uid="{94A91105-48AB-4079-A43D-B09965C67346}"/>
    <hyperlink ref="H57" r:id="rId288" xr:uid="{FEBFC006-2884-419C-B286-D7F3362CDBE6}"/>
    <hyperlink ref="H58" r:id="rId289" xr:uid="{CD830CE1-5FA3-4858-8537-4FE927E0B758}"/>
    <hyperlink ref="H59" r:id="rId290" xr:uid="{532A0CC8-819A-4DBA-A6CF-D6A2B91487ED}"/>
    <hyperlink ref="H60" r:id="rId291" xr:uid="{440059B9-2C1D-43AB-930B-937756F3447D}"/>
    <hyperlink ref="H61" r:id="rId292" xr:uid="{2E09DC4F-6DE1-41B8-9A07-7F4055894917}"/>
    <hyperlink ref="H62" r:id="rId293" xr:uid="{C1B69179-3F37-42B3-B882-5E66F15826B9}"/>
    <hyperlink ref="H63" r:id="rId294" xr:uid="{5DA4C697-D87F-44C2-B225-760F010A616F}"/>
    <hyperlink ref="H64" r:id="rId295" xr:uid="{3264BD02-C89A-4866-AEBA-7689CFC7E70B}"/>
    <hyperlink ref="H65" r:id="rId296" xr:uid="{2D435B29-E33B-407D-BA3F-16C23B6C30E3}"/>
    <hyperlink ref="H66" r:id="rId297" xr:uid="{0A5601B0-CCF7-47A9-951B-291FAFED1909}"/>
    <hyperlink ref="H67" r:id="rId298" xr:uid="{69A7F9B2-5E3C-42AD-BCD5-48F68E8EEDDD}"/>
    <hyperlink ref="H68" r:id="rId299" xr:uid="{8CAD44D9-3EA3-4154-85C5-0B3FE096D6F5}"/>
    <hyperlink ref="H69" r:id="rId300" xr:uid="{11986BAA-8532-41DD-A5AF-7914CF31B0D8}"/>
    <hyperlink ref="H70" r:id="rId301" xr:uid="{6651D222-7BF6-4B12-8761-E28DA2E96744}"/>
    <hyperlink ref="H71" r:id="rId302" xr:uid="{2EA94727-C7E5-4D58-BD8C-F4B178FA22B7}"/>
    <hyperlink ref="H72" r:id="rId303" xr:uid="{7013728C-D0CF-42FC-9AFD-41CDACC39DAE}"/>
    <hyperlink ref="H73" r:id="rId304" xr:uid="{B472DBC6-A67A-481A-A2E8-CD26BD8E7235}"/>
    <hyperlink ref="H75" r:id="rId305" xr:uid="{7E536B42-DB4C-4F2F-A322-9991AF892129}"/>
    <hyperlink ref="H76" r:id="rId306" xr:uid="{6203E769-53D8-4E2F-8E05-9970646EBA8F}"/>
    <hyperlink ref="H77" r:id="rId307" xr:uid="{0C7993F7-5614-4AC7-B9FF-3688FBE2579B}"/>
    <hyperlink ref="H78" r:id="rId308" xr:uid="{BA7D52A6-A9D4-4880-8C9A-F4451C6AAA79}"/>
    <hyperlink ref="H79" r:id="rId309" xr:uid="{B395D9C9-8AF5-47A8-9F45-B3B6CC1BEC85}"/>
    <hyperlink ref="H80" r:id="rId310" xr:uid="{1C098FA0-A132-4C2F-8D89-2E46C1D692D4}"/>
    <hyperlink ref="H81" r:id="rId311" xr:uid="{BA2F4AC3-D2A6-4A87-8B74-7325D9B07FEA}"/>
    <hyperlink ref="F5" r:id="rId312" xr:uid="{F3729F83-47E2-45F0-8A08-6A7B18272E1E}"/>
    <hyperlink ref="F6" r:id="rId313" xr:uid="{45310368-8C94-4FA4-B84D-66D6A6539ED3}"/>
    <hyperlink ref="F7" r:id="rId314" xr:uid="{914CE8BB-7D35-4979-BB4E-CEE3528FCEF6}"/>
    <hyperlink ref="F10" r:id="rId315" xr:uid="{25C3CF77-5E2A-495B-9931-30DF2F72F78D}"/>
    <hyperlink ref="F16" r:id="rId316" xr:uid="{2A1BA754-327A-4FB7-B695-2DC24C3586AE}"/>
    <hyperlink ref="F18" r:id="rId317" xr:uid="{677FE2A8-C6AD-4B1E-884D-2A673AF867F4}"/>
    <hyperlink ref="F19" r:id="rId318" xr:uid="{4F2486E3-D4B3-4B7E-8A45-8EB1617CA2A8}"/>
    <hyperlink ref="F12" r:id="rId319" xr:uid="{48934C45-730E-4028-8DD8-3361D51FD6B5}"/>
    <hyperlink ref="F3" r:id="rId320" xr:uid="{63528525-C94E-4BA5-B6E6-FC9E96FC6FC7}"/>
    <hyperlink ref="F4" r:id="rId321" xr:uid="{526B7527-242E-4BB0-B6A4-C2BF72AE5A84}"/>
    <hyperlink ref="F8" r:id="rId322" xr:uid="{E454F09E-F22F-4EB5-A251-3B428C366706}"/>
    <hyperlink ref="F15" r:id="rId323" xr:uid="{A29C422B-44F9-4F82-8540-7270DC6539FB}"/>
    <hyperlink ref="F9" r:id="rId324" xr:uid="{6B4F5469-F5E8-41CE-B66E-EEFBF7E262A2}"/>
    <hyperlink ref="F13" r:id="rId325" xr:uid="{97961888-EC78-46EE-9C17-ADB1E5013C45}"/>
    <hyperlink ref="F14" r:id="rId326" xr:uid="{4642AB0B-9F24-4FC3-BF62-5CA9DA608D1E}"/>
    <hyperlink ref="F20" r:id="rId327" xr:uid="{F5A6972B-9789-47CB-8972-962616FC0735}"/>
    <hyperlink ref="F21" r:id="rId328" xr:uid="{D699D6F2-149F-4659-94CC-FF73F5C6DEBD}"/>
    <hyperlink ref="F22" r:id="rId329" xr:uid="{1328F1C1-1278-4088-BCCA-8149CC75DFD9}"/>
    <hyperlink ref="F23" r:id="rId330" xr:uid="{671534D6-D742-450A-9DDC-5FD49665222F}"/>
    <hyperlink ref="F17" r:id="rId331" xr:uid="{AB34C037-FBA4-4DB8-8BA5-7734EE3E14BA}"/>
    <hyperlink ref="F11" r:id="rId332" xr:uid="{40D5F466-93CE-48E9-BE3B-FC848AECA59E}"/>
    <hyperlink ref="H83" r:id="rId333" xr:uid="{FDDE98D1-7155-465E-BB5E-74DB81DB3F87}"/>
    <hyperlink ref="H84" r:id="rId334" xr:uid="{8CF2A356-0724-41F1-A97B-2AE60033D5F7}"/>
    <hyperlink ref="H85" r:id="rId335" xr:uid="{994E3535-5EB6-4DD2-A7DD-4FE89C9ED196}"/>
    <hyperlink ref="H86" r:id="rId336" xr:uid="{DF52B802-9437-472D-A044-5B17CBD3E7CB}"/>
    <hyperlink ref="H87" r:id="rId337" xr:uid="{931E63E8-A8AD-4A28-AF0A-AFFD38CBCBA6}"/>
    <hyperlink ref="H88" r:id="rId338" xr:uid="{65835805-80DE-4D0F-BA60-B0F037F50CD5}"/>
    <hyperlink ref="H89" r:id="rId339" xr:uid="{DB896B85-8893-490A-B27C-5B3794620558}"/>
    <hyperlink ref="H132" r:id="rId340" xr:uid="{B9FE7C48-4C1B-4461-BE85-2CA590EB6A0E}"/>
    <hyperlink ref="H133" r:id="rId341" xr:uid="{F8564DAD-A288-44FC-BCC8-D205895F72C9}"/>
    <hyperlink ref="H134" r:id="rId342" xr:uid="{F61648D5-D028-4122-8A77-9F30AD93A5DF}"/>
    <hyperlink ref="H113" r:id="rId343" xr:uid="{7FE02C9C-843B-4FE2-ADCE-1905B8FB2B97}"/>
    <hyperlink ref="H114" r:id="rId344" xr:uid="{654F2937-D614-45C0-9E89-138A0BDD327F}"/>
    <hyperlink ref="H115" r:id="rId345" xr:uid="{4594C74C-9170-4D83-835A-AAFE270EC653}"/>
    <hyperlink ref="H116" r:id="rId346" xr:uid="{23364A62-8A2E-4F5A-A593-25B4996A5A5D}"/>
    <hyperlink ref="H3" r:id="rId347" xr:uid="{89B3C6E5-48F7-4C55-8D16-C686DB777944}"/>
    <hyperlink ref="H4" r:id="rId348" xr:uid="{64BC0C5E-1454-475D-AE85-378A744F4D42}"/>
    <hyperlink ref="H5" r:id="rId349" xr:uid="{788D63C6-A01E-4AED-9BE0-EAEFDE4AE543}"/>
    <hyperlink ref="H74" r:id="rId350" xr:uid="{C4021891-12AC-4E4B-9C2B-F1C1B2A4CA8A}"/>
    <hyperlink ref="H135" r:id="rId351" xr:uid="{54A7DC5F-F432-42BC-84D9-04AFAC385107}"/>
    <hyperlink ref="H136" r:id="rId352" xr:uid="{F6947505-6AAE-4C19-8C35-6C2D0534A53A}"/>
    <hyperlink ref="H137" r:id="rId353" xr:uid="{84716153-FB65-4C27-8D09-58E793AF8307}"/>
    <hyperlink ref="H139" r:id="rId354" xr:uid="{C3799ECE-F43F-4E5A-912C-EFFCF64B53E3}"/>
    <hyperlink ref="H140" r:id="rId355" xr:uid="{C9A0E80F-F046-4C1D-AC47-41F38994BF44}"/>
    <hyperlink ref="H141" r:id="rId356" xr:uid="{5E027711-172E-4DB2-9DCD-AAB5BD4151DB}"/>
    <hyperlink ref="H142" r:id="rId357" xr:uid="{D8E72092-F651-45D1-A70B-63E755AC214B}"/>
    <hyperlink ref="H143" r:id="rId358" xr:uid="{8E5E0AD9-1F57-43D0-A273-3F02AAB7FAA9}"/>
    <hyperlink ref="H144" r:id="rId359" xr:uid="{3CC6FF55-5B27-4898-AC77-9287C3E938CE}"/>
    <hyperlink ref="H145" r:id="rId360" xr:uid="{73E1D56D-D3CF-4672-B6BC-0CD08E2AAE31}"/>
    <hyperlink ref="H146" r:id="rId361" xr:uid="{F0CF9DFF-06D4-48D5-8D11-14560BB371C8}"/>
    <hyperlink ref="H147" r:id="rId362" xr:uid="{09B5D487-A23B-4986-AC97-75D7CA3AA7CE}"/>
    <hyperlink ref="H148" r:id="rId363" xr:uid="{3F0DCB5D-616A-46CB-97D3-E6F0994B0557}"/>
    <hyperlink ref="H149" r:id="rId364" xr:uid="{6125D527-6B64-486F-B091-9CD41DD759F5}"/>
    <hyperlink ref="H150" r:id="rId365" xr:uid="{C9BC9296-8A38-4509-9E1C-4D3D792A6A89}"/>
    <hyperlink ref="H151" r:id="rId366" xr:uid="{E43A0D0A-B552-4002-A236-EB76731B5749}"/>
    <hyperlink ref="H152" r:id="rId367" xr:uid="{48E63ED5-0653-40B4-BF92-4ACCA6C400D0}"/>
    <hyperlink ref="H6" r:id="rId368" xr:uid="{873E8361-ED14-4B21-8828-129992DE404A}"/>
    <hyperlink ref="H7" r:id="rId369" xr:uid="{E44D01E5-33BD-415E-B68A-0DDB86FA5BDC}"/>
    <hyperlink ref="H198" r:id="rId370" xr:uid="{96285C9E-0E40-4152-8F50-32B28F996146}"/>
    <hyperlink ref="H199" r:id="rId371" xr:uid="{1848ABB4-852A-42CF-A48F-4105553372C6}"/>
    <hyperlink ref="H200" r:id="rId372" xr:uid="{8267A2C2-CACD-4A90-B03E-A49B1BD00CB9}"/>
    <hyperlink ref="H201" r:id="rId373" xr:uid="{46022C9E-49CA-491F-94C7-247DBA0FF46F}"/>
    <hyperlink ref="H202" r:id="rId374" xr:uid="{E0392BF5-A39E-41F2-9251-B38BC92AB09E}"/>
    <hyperlink ref="H53" r:id="rId375" xr:uid="{DDD9E432-F353-4F4E-B68F-53DFA291676A}"/>
    <hyperlink ref="H9" r:id="rId376" xr:uid="{D2B19305-5AC0-4CAE-A493-75921D6D5403}"/>
    <hyperlink ref="H10" r:id="rId377" xr:uid="{8666E54B-205D-4995-9DDA-E21A4165A086}"/>
    <hyperlink ref="H11" r:id="rId378" xr:uid="{412D451E-CC8E-4061-A5EC-86E6840263C4}"/>
    <hyperlink ref="H12" r:id="rId379" xr:uid="{3AB5F0F1-1859-4441-9DF9-EE914487165B}"/>
    <hyperlink ref="H8" r:id="rId380" xr:uid="{B6E36AC8-E851-4B49-A9B7-DB3EA6913F8E}"/>
    <hyperlink ref="H184" r:id="rId381" xr:uid="{E9DE0A6D-E8F4-4E91-9A9D-F9718C3F8194}"/>
    <hyperlink ref="H185" r:id="rId382" xr:uid="{487CB8EE-10D7-412C-99E6-102AD202AE14}"/>
    <hyperlink ref="H186" r:id="rId383" xr:uid="{11B8A74F-B733-4B5F-8EC5-BF86A0391EA2}"/>
    <hyperlink ref="H188" r:id="rId384" xr:uid="{3FDB60DA-4CB1-4536-8A9D-CF827F3E744F}"/>
    <hyperlink ref="H189" r:id="rId385" xr:uid="{288D4D5B-303F-4193-92B2-406D0462F953}"/>
    <hyperlink ref="H190" r:id="rId386" xr:uid="{96679131-3F90-43CF-BCCC-C9BD65CEB58E}"/>
    <hyperlink ref="H191" r:id="rId387" xr:uid="{E1243ACF-05B3-4E51-A502-03C18E595316}"/>
    <hyperlink ref="H194" r:id="rId388" xr:uid="{7FDFA855-00C4-4C36-85E0-1E47AAD14C2D}"/>
    <hyperlink ref="H195" r:id="rId389" xr:uid="{935E7A86-A7EC-4228-95B7-BB19624A4B9D}"/>
    <hyperlink ref="H196" r:id="rId390" xr:uid="{7D02435E-C204-4338-A9C2-30FAEDAB4B9B}"/>
    <hyperlink ref="H193" r:id="rId391" xr:uid="{E3CA1F6A-97F4-4317-93B7-7C99FA76DB3D}"/>
    <hyperlink ref="H192" r:id="rId392" xr:uid="{9587BB2F-33F7-492B-B32E-9A2414C16723}"/>
    <hyperlink ref="H120" r:id="rId393" xr:uid="{BF4E00D5-ED2D-4B10-B24B-70E932D80940}"/>
    <hyperlink ref="H121" r:id="rId394" xr:uid="{6E7E99FA-2E62-431D-9455-7A3630E47620}"/>
    <hyperlink ref="H122" r:id="rId395" xr:uid="{38037277-BCC0-4AF5-A586-23E6DDCAD139}"/>
    <hyperlink ref="H123" r:id="rId396" xr:uid="{D5217D3B-EFB2-405E-B1C1-539DAE88E54F}"/>
    <hyperlink ref="H124" r:id="rId397" xr:uid="{818C8378-C9D2-4464-AC7F-72998A9EAA28}"/>
    <hyperlink ref="H125" r:id="rId398" xr:uid="{7C1103AF-F8BD-4CEA-89C5-242CF27EEBE3}"/>
    <hyperlink ref="H126" r:id="rId399" xr:uid="{BDB1BDE5-494E-44F8-A559-84F8AF2C6F3B}"/>
    <hyperlink ref="H127" r:id="rId400" xr:uid="{4BD1D272-81E2-494B-803C-FE1010427273}"/>
    <hyperlink ref="H128" r:id="rId401" xr:uid="{2189CE01-E95B-4A94-B9DE-386C6C74EFDE}"/>
    <hyperlink ref="H129" r:id="rId402" xr:uid="{FB3C86D9-BC45-4BD8-8F5C-FCFA3E9DA560}"/>
    <hyperlink ref="H130" r:id="rId403" xr:uid="{6AACF56E-8A46-4860-8A5F-D047AE2F42B2}"/>
    <hyperlink ref="H118" r:id="rId404" xr:uid="{FB5DB8CF-0273-464C-9D6E-3A11ACCA6D6F}"/>
    <hyperlink ref="H15" r:id="rId405" xr:uid="{6F52214E-7350-4C2C-9F8D-0CBF02CB9CD5}"/>
    <hyperlink ref="H16" r:id="rId406" xr:uid="{474894C0-C228-4C88-80C8-B1F6AD4C533D}"/>
    <hyperlink ref="H18" r:id="rId407" xr:uid="{658D5A22-E7A2-4DAE-BBCF-159565E088F7}"/>
    <hyperlink ref="H19" r:id="rId408" xr:uid="{5E5482DB-6E73-4035-843A-4BC742220E11}"/>
    <hyperlink ref="H20" r:id="rId409" xr:uid="{7E0124A9-A5BD-4DF0-8953-554DFA2814CA}"/>
    <hyperlink ref="H21" r:id="rId410" xr:uid="{31812AC1-385C-4A9F-9E50-354D2CFFB47D}"/>
    <hyperlink ref="H22" r:id="rId411" xr:uid="{104A03A6-A4BB-4696-83A9-1891B68F8547}"/>
    <hyperlink ref="G41" r:id="rId412" xr:uid="{18EC68E7-9AC3-49D9-B850-61C655730CFD}"/>
    <hyperlink ref="H49" r:id="rId413" xr:uid="{5DE43913-DECC-43B0-9950-97D06E0815A9}"/>
    <hyperlink ref="H23" r:id="rId414" xr:uid="{A5EA7CD0-2CF4-4839-9FC4-F60FB49867CE}"/>
    <hyperlink ref="H13" r:id="rId415" xr:uid="{E3C51387-EF56-4E07-9A28-0B1AF1D967C7}"/>
    <hyperlink ref="G126" r:id="rId416" xr:uid="{39EBF9C7-54BD-42A9-85A7-5EC36349C469}"/>
    <hyperlink ref="H92" r:id="rId417" xr:uid="{B23B13FC-E7C9-4FB8-BFAB-7CD2517823A1}"/>
    <hyperlink ref="H97" r:id="rId418" xr:uid="{6E1DB039-A77F-4506-99CC-7FC6B7C3DDC6}"/>
    <hyperlink ref="H98" r:id="rId419" xr:uid="{287648B9-F409-48D2-9E30-10F972249D34}"/>
    <hyperlink ref="G97" r:id="rId420" xr:uid="{A4DB9B67-4C99-493F-8C54-5397BA379BF2}"/>
    <hyperlink ref="F99" r:id="rId421" xr:uid="{C3604989-9AFB-4E03-9B8E-CC5FE9FE069D}"/>
    <hyperlink ref="F100" r:id="rId422" xr:uid="{8D08BFFF-CD32-4591-A626-8A28729ACEFF}"/>
    <hyperlink ref="F101" r:id="rId423" xr:uid="{95881BCA-6649-4851-9FB1-F14DF3CE4F2B}"/>
    <hyperlink ref="F102" r:id="rId424" xr:uid="{94CC3E85-69FC-48E1-92B2-A44A3E8359D0}"/>
    <hyperlink ref="F104" r:id="rId425" xr:uid="{53B5B22F-1DB1-4740-B01F-43DCD9DDC685}"/>
    <hyperlink ref="F105" r:id="rId426" xr:uid="{FE2415DC-2FD0-4AE2-8BFC-870ECE3693F9}"/>
    <hyperlink ref="F106" r:id="rId427" xr:uid="{9322E5AE-140D-47E3-B1C5-89973A862445}"/>
    <hyperlink ref="F107" r:id="rId428" xr:uid="{2205E5C8-7604-4D76-B13B-ED3AEE3F3FB7}"/>
    <hyperlink ref="F108" r:id="rId429" xr:uid="{0824C93A-9869-47AE-93CF-4B50FB79AF0B}"/>
    <hyperlink ref="F109" r:id="rId430" xr:uid="{3DD3DE19-08BB-4234-8D16-22CFA65AAE11}"/>
    <hyperlink ref="F110" r:id="rId431" xr:uid="{146E24A6-B598-430D-B852-F7CA5F2FDF36}"/>
    <hyperlink ref="F111" r:id="rId432" xr:uid="{E9AC0CD1-7F09-4B4C-A87B-78E5225A3053}"/>
    <hyperlink ref="F103" r:id="rId433" xr:uid="{430816DE-1019-4D98-B9DD-4B7BEED0289E}"/>
    <hyperlink ref="H90" r:id="rId434" xr:uid="{A14C4DDB-DC5B-4C40-8A85-D14C35FEA4FB}"/>
    <hyperlink ref="H93" r:id="rId435" xr:uid="{8C390D1D-674F-44A0-9D59-A5784D3FFF45}"/>
    <hyperlink ref="H94" r:id="rId436" xr:uid="{DFEE17C4-7C18-43F9-B0A9-BE4BC3F1708C}"/>
    <hyperlink ref="H119" r:id="rId437" xr:uid="{F9B7FFF1-E836-42DF-AA28-F0BDA7045AE9}"/>
    <hyperlink ref="H14" r:id="rId438" xr:uid="{51CAB061-8C38-4B02-8015-06D236898E79}"/>
    <hyperlink ref="F154" r:id="rId439" xr:uid="{25CD50E8-2317-4F64-A54E-6649607D53B5}"/>
    <hyperlink ref="F155" r:id="rId440" xr:uid="{25B2722E-802A-43E5-9F26-C4F5EFD7682B}"/>
    <hyperlink ref="F156" r:id="rId441" xr:uid="{5E2ECE77-A448-457A-9F55-D08009E17B3B}"/>
    <hyperlink ref="F157" r:id="rId442" xr:uid="{14A21E2B-1993-4DDD-97C4-0DEB6C94E858}"/>
    <hyperlink ref="F158" r:id="rId443" xr:uid="{EC5A87E6-CC6A-48CA-8431-7F3C06C9A628}"/>
    <hyperlink ref="F159" r:id="rId444" xr:uid="{71728E7A-5C6F-4333-832C-9C693704B228}"/>
    <hyperlink ref="F160" r:id="rId445" xr:uid="{BE1E6BA8-0F0E-428E-ACE5-EC07A885BCD9}"/>
    <hyperlink ref="F161" r:id="rId446" xr:uid="{059ACF72-3ECE-47F6-8810-6A515C1AB79C}"/>
    <hyperlink ref="F162" r:id="rId447" xr:uid="{D130C5EB-8BF6-4341-B1DA-92117F85208A}"/>
    <hyperlink ref="F163" r:id="rId448" xr:uid="{64417818-1548-44E4-807D-FE76EA582E98}"/>
    <hyperlink ref="F164" r:id="rId449" xr:uid="{D8512619-5A74-4905-800E-F1AB7A095566}"/>
    <hyperlink ref="F165" r:id="rId450" xr:uid="{09F2ED4A-13E3-40A3-A392-2014F9CA2E96}"/>
    <hyperlink ref="F166" r:id="rId451" xr:uid="{A6FC08C9-3383-4E8D-B3B1-5D089BE201FC}"/>
    <hyperlink ref="F167" r:id="rId452" xr:uid="{7C7C0905-1E0F-4397-88D4-7D79837F300C}"/>
    <hyperlink ref="F168" r:id="rId453" xr:uid="{5588782D-1E37-4C9B-BB28-4378C99D1071}"/>
    <hyperlink ref="F169" r:id="rId454" xr:uid="{38D2A552-770C-4472-87AC-8509289F5A81}"/>
    <hyperlink ref="F170" r:id="rId455" xr:uid="{7AE25F4B-C23E-40AD-A73D-7522565BF353}"/>
    <hyperlink ref="F171" r:id="rId456" xr:uid="{EE9A21D9-1091-4EAD-A11B-975C891E3C01}"/>
    <hyperlink ref="F172" r:id="rId457" xr:uid="{8832B8BA-64DE-465D-A912-17838066B1AA}"/>
    <hyperlink ref="F173" r:id="rId458" xr:uid="{54F77E78-3863-4672-B968-C540A03D2D17}"/>
    <hyperlink ref="F174" r:id="rId459" xr:uid="{9F27673B-F777-4535-951F-842136F68354}"/>
    <hyperlink ref="F176" r:id="rId460" xr:uid="{CDE44A0C-B0F3-440A-AB7C-CA9B72549FA1}"/>
    <hyperlink ref="F177" r:id="rId461" xr:uid="{D90FE1F1-CAB2-4BF8-8697-F66185BB5BE4}"/>
    <hyperlink ref="F178" r:id="rId462" xr:uid="{79925926-6143-4C0E-96AD-CAD050A6B8E8}"/>
    <hyperlink ref="F179" r:id="rId463" xr:uid="{5CE38F57-A9D7-46A3-B273-2BAAD8C51C06}"/>
    <hyperlink ref="F180" r:id="rId464" xr:uid="{B0D424C1-CCA6-4A90-9CD6-882A633199F2}"/>
    <hyperlink ref="F181" r:id="rId465" xr:uid="{74BBC5A1-35E0-4B94-9723-A1984FAA3491}"/>
    <hyperlink ref="F182" r:id="rId466" xr:uid="{3AD8EADA-C085-4856-A33F-93FF15E62856}"/>
    <hyperlink ref="H95" r:id="rId467" xr:uid="{4E7A72DC-B0ED-44EE-B289-965826D08045}"/>
    <hyperlink ref="G101" r:id="rId468" xr:uid="{2E0E9037-DAC8-4308-81D0-C5E55FD61AB7}"/>
    <hyperlink ref="H101" r:id="rId469" xr:uid="{1F604E88-5328-4A8B-BB94-338CD27A0EDF}"/>
    <hyperlink ref="G104" r:id="rId470" xr:uid="{E8724C9F-A37C-49B7-8843-B0E68385B2E0}"/>
    <hyperlink ref="G106" r:id="rId471" xr:uid="{FD52FA8F-6A1E-4831-B209-3ECC95092A92}"/>
    <hyperlink ref="G108" r:id="rId472" xr:uid="{5CE7E915-DDA6-47D8-9F23-19A988F4B7AB}"/>
    <hyperlink ref="H104" r:id="rId473" xr:uid="{C04737DF-F793-496C-A1E5-2614C5975453}"/>
    <hyperlink ref="H108" r:id="rId474" xr:uid="{9104BDB6-0FD4-4B9D-8664-95C53462024D}"/>
    <hyperlink ref="H96" r:id="rId475" xr:uid="{FDAD6759-BC06-41C1-BBCF-D9413800C91C}"/>
    <hyperlink ref="H138" r:id="rId476" xr:uid="{4F6015CB-E7BF-4067-80FE-FFCF4BAA20D1}"/>
    <hyperlink ref="H187" r:id="rId477" xr:uid="{F18796AD-9004-49B2-BF86-A349B694E9BB}"/>
    <hyperlink ref="H176" r:id="rId478" xr:uid="{8E410B5F-A201-40BB-8270-93011A717A83}"/>
    <hyperlink ref="H181" r:id="rId479" xr:uid="{A8FE50C1-1AEC-47DF-8123-B9A91BE8192E}"/>
    <hyperlink ref="H182" r:id="rId480" xr:uid="{6FAF5CE7-7C11-41B7-A999-B7ECA35816BF}"/>
    <hyperlink ref="H178" r:id="rId481" xr:uid="{B4221D89-8235-401F-A25A-A2DE6FEA7F41}"/>
    <hyperlink ref="H179" r:id="rId482" xr:uid="{D774BA69-DDB5-4B4C-8AB8-6846F7A01EEF}"/>
    <hyperlink ref="H177" r:id="rId483" xr:uid="{870C6C2B-2313-4F7F-A835-4A610824E026}"/>
    <hyperlink ref="H180" r:id="rId484" xr:uid="{7733CDC3-0475-463C-BC84-33991A0406B9}"/>
    <hyperlink ref="F226" r:id="rId485" xr:uid="{4E9D21A3-7C2F-44BE-8E15-AC11EEE53F3D}"/>
    <hyperlink ref="F227" r:id="rId486" xr:uid="{EE215F6A-D9C3-40BF-9FDB-03F652458CA8}"/>
    <hyperlink ref="F228" r:id="rId487" xr:uid="{BA862474-6F04-425B-A85D-7B8D501C1760}"/>
    <hyperlink ref="F229" r:id="rId488" xr:uid="{FA4E0D73-8391-410A-8BF6-E00C1E9FEE9F}"/>
    <hyperlink ref="F230" r:id="rId489" xr:uid="{159B6744-BAD7-4BF7-BC65-C2897F69FCD2}"/>
    <hyperlink ref="F231" r:id="rId490" xr:uid="{D534B78F-7CF1-4F19-8C47-929586DF6A42}"/>
    <hyperlink ref="F232" r:id="rId491" xr:uid="{02BF46F4-71C5-433F-9681-E4D8E7932EA8}"/>
    <hyperlink ref="F233" r:id="rId492" xr:uid="{1FF74BD3-E8B4-4B1F-A858-3D1312040B90}"/>
    <hyperlink ref="F234" r:id="rId493" xr:uid="{7D933663-FD9B-48A2-9B7B-B2B32F220443}"/>
    <hyperlink ref="F235" r:id="rId494" xr:uid="{1298EB18-ABC4-4BA4-8E68-7D6AD0886FE3}"/>
    <hyperlink ref="F236" r:id="rId495" xr:uid="{B1E84501-9CE9-473A-A67C-B88DBC45A3E0}"/>
    <hyperlink ref="F237" r:id="rId496" xr:uid="{05559062-4E60-4CCF-8EB8-42144F0BF357}"/>
    <hyperlink ref="F238" r:id="rId497" xr:uid="{D36784B2-73E5-4635-B67F-2D1682C5A248}"/>
    <hyperlink ref="F239" r:id="rId498" xr:uid="{9F428CA3-E7C2-40B8-B9CC-7980933F92DA}"/>
    <hyperlink ref="F240" r:id="rId499" xr:uid="{A22455BD-F67A-47F7-9300-F57C0065A9E8}"/>
    <hyperlink ref="F241" r:id="rId500" xr:uid="{5F26EDB5-EFBD-4836-B51F-4D7CA4D60DBA}"/>
    <hyperlink ref="F242" r:id="rId501" xr:uid="{5DF439F7-107B-45F1-9685-43C812962DB5}"/>
    <hyperlink ref="G226" r:id="rId502" xr:uid="{FD14BA3A-26D8-4073-9C23-6F015209C208}"/>
    <hyperlink ref="G227" r:id="rId503" xr:uid="{D3748AC9-08A5-42CF-A2D9-E1BB244B16C5}"/>
    <hyperlink ref="G228" r:id="rId504" xr:uid="{AEDD1F5F-6031-4620-97E0-58140201A166}"/>
    <hyperlink ref="G229" r:id="rId505" xr:uid="{5ADB491B-F7F8-4A4B-B17D-350035267D31}"/>
    <hyperlink ref="G230" r:id="rId506" xr:uid="{BF56A892-4374-4AE3-944A-3079848D084F}"/>
    <hyperlink ref="G231" r:id="rId507" xr:uid="{C55939E4-03CD-48DB-9C11-08E983187089}"/>
    <hyperlink ref="G232" r:id="rId508" xr:uid="{7BFAC7E3-4C3E-460D-A3EF-02179D503A24}"/>
    <hyperlink ref="G233" r:id="rId509" xr:uid="{2012796B-CC45-44AB-AD46-CFD8EEE90309}"/>
    <hyperlink ref="G234" r:id="rId510" xr:uid="{D57C6D92-9B63-4CB5-BCA2-B80A72774DE4}"/>
    <hyperlink ref="G235" r:id="rId511" xr:uid="{EEA0346D-2BEF-4D1F-9F45-16DEF32B33D4}"/>
    <hyperlink ref="G236" r:id="rId512" xr:uid="{2DD4CAFD-EC54-435A-893B-74C7AB165FBF}"/>
    <hyperlink ref="G237" r:id="rId513" xr:uid="{B2F2C89D-22F9-44FE-BDF0-30578AC920B4}"/>
    <hyperlink ref="G238" r:id="rId514" xr:uid="{B1EEC0C9-B642-4E16-BCBB-42C6F43B5069}"/>
    <hyperlink ref="G239" r:id="rId515" xr:uid="{C4E3E4FE-CAB2-4389-916F-65B1D16D5322}"/>
    <hyperlink ref="G240" r:id="rId516" xr:uid="{C1C65496-FC2F-4AAC-8150-6C7D802F27AC}"/>
    <hyperlink ref="G241" r:id="rId517" xr:uid="{0DE85F79-A7F3-47B5-9ED2-A335DC116038}"/>
    <hyperlink ref="G242" r:id="rId518" xr:uid="{5FD7AAFD-97A8-4C8B-AD0A-7687D9B8C151}"/>
    <hyperlink ref="F244" r:id="rId519" xr:uid="{7503952D-69C1-4D1A-845E-D1EF7F5BF1BC}"/>
    <hyperlink ref="F245" r:id="rId520" xr:uid="{5F7BCD27-6CD6-4212-AEC2-E32D47B15B91}"/>
    <hyperlink ref="F246" r:id="rId521" xr:uid="{5DCC4B7E-7BBE-4D91-B0E3-69542A7DADDE}"/>
    <hyperlink ref="F247" r:id="rId522" xr:uid="{206540C8-0090-4126-B36B-4E9AF1187A74}"/>
    <hyperlink ref="F248" r:id="rId523" xr:uid="{EE181812-13C5-43BC-87E4-1B233335394C}"/>
    <hyperlink ref="F249" r:id="rId524" xr:uid="{C316D2ED-3196-4B68-859D-57B20A1F260D}"/>
    <hyperlink ref="F250" r:id="rId525" xr:uid="{D0716434-D915-40C2-A6AD-FD86E91E1EDD}"/>
    <hyperlink ref="F251" r:id="rId526" xr:uid="{10041E0A-180D-44A9-9D95-7AF055ED8207}"/>
    <hyperlink ref="F252" r:id="rId527" xr:uid="{B36851C3-525A-4551-A645-65479911A861}"/>
    <hyperlink ref="F253" r:id="rId528" xr:uid="{FF2CB298-734B-4170-B521-6DA39266FFD3}"/>
    <hyperlink ref="F254" r:id="rId529" xr:uid="{9B438E80-3704-4B65-B6FD-0D127437765E}"/>
    <hyperlink ref="F255" r:id="rId530" xr:uid="{BD97B1A9-4E99-42C6-9FC7-AF2D5C36BD99}"/>
    <hyperlink ref="F256" r:id="rId531" xr:uid="{1DCAC271-946C-44BE-B3B0-597F1F21EDE3}"/>
    <hyperlink ref="F257" r:id="rId532" xr:uid="{9CE6A079-A8E2-44FE-AE36-7B0C919338C0}"/>
    <hyperlink ref="G244" r:id="rId533" xr:uid="{5D42ABC8-3915-4F81-AA8F-5DC9C2BD04A8}"/>
    <hyperlink ref="G245" r:id="rId534" xr:uid="{9C3276A8-CFE7-43CD-ADE2-183D63766E6B}"/>
    <hyperlink ref="G246" r:id="rId535" xr:uid="{68366FD6-1485-4742-92FA-4241BB63EA10}"/>
    <hyperlink ref="G247" r:id="rId536" xr:uid="{FA5083DD-24B4-4A46-B213-A49BA0E831E5}"/>
    <hyperlink ref="G248" r:id="rId537" xr:uid="{92DBDB1E-90BA-433D-A4EF-1B5BD8DE8E39}"/>
    <hyperlink ref="G249" r:id="rId538" xr:uid="{9964E270-FD65-4C88-A50C-10E1D6FFE5DA}"/>
    <hyperlink ref="G250" r:id="rId539" xr:uid="{00B66990-63D0-49BF-B5CA-427CC3692CF4}"/>
    <hyperlink ref="G251" r:id="rId540" xr:uid="{2A8FC828-6CA6-49D0-81CC-B63DEC082174}"/>
    <hyperlink ref="G254" r:id="rId541" xr:uid="{06E69BB7-05C5-4460-B3A8-2129F6B0C377}"/>
    <hyperlink ref="G255" r:id="rId542" xr:uid="{E434ADD3-9F62-4ACC-BA4B-A24A27FDF179}"/>
    <hyperlink ref="G256" r:id="rId543" xr:uid="{740F85B6-D1FD-4C46-9870-0F21AF566CF0}"/>
    <hyperlink ref="G257" r:id="rId544" xr:uid="{BDD63366-AF34-4780-A3AB-DA6499BB2631}"/>
    <hyperlink ref="H244" r:id="rId545" xr:uid="{3B25C361-F00F-4A96-A703-E7D4623A98D2}"/>
    <hyperlink ref="H245" r:id="rId546" xr:uid="{DCA46D9D-D296-4CC5-B3B2-7C4963604921}"/>
    <hyperlink ref="H246" r:id="rId547" xr:uid="{35C581C5-4595-43C6-A03E-928DBADA31F0}"/>
    <hyperlink ref="H247" r:id="rId548" xr:uid="{721B5FCD-6722-439E-9548-C668556B427E}"/>
    <hyperlink ref="H248" r:id="rId549" xr:uid="{541B59A0-BD08-4329-A280-4DAF00970383}"/>
    <hyperlink ref="H249" r:id="rId550" xr:uid="{779D6C25-C5B5-44FE-B020-2A954006566D}"/>
    <hyperlink ref="H250" r:id="rId551" xr:uid="{B6A1911B-F597-4BC5-878D-CD79F8BE63D7}"/>
    <hyperlink ref="H251" r:id="rId552" xr:uid="{1FEDDB9B-2A65-4B39-B0EA-D0DB35E5CCA0}"/>
    <hyperlink ref="H252" r:id="rId553" xr:uid="{FCCB268D-DEE3-4580-BE3D-627F052D48E0}"/>
    <hyperlink ref="H253" r:id="rId554" xr:uid="{624C5A1A-A215-49BB-9399-F71C28EBE52C}"/>
    <hyperlink ref="H254" r:id="rId555" xr:uid="{0E4C1088-C3D4-46B7-8524-2FF5FEE30049}"/>
    <hyperlink ref="H255" r:id="rId556" xr:uid="{B153138E-B31B-4860-994E-163AF2D44FFB}"/>
    <hyperlink ref="H256" r:id="rId557" xr:uid="{D2B2F7A9-597F-4C40-BF88-9376AD1937A5}"/>
    <hyperlink ref="H257" r:id="rId558" xr:uid="{1355EDEF-A7C5-4AB2-85B7-ED5CCCA11732}"/>
    <hyperlink ref="G252" r:id="rId559" xr:uid="{00CA45A7-B055-4001-9F7E-69A4E304222D}"/>
    <hyperlink ref="G253" r:id="rId560" xr:uid="{6501185E-4991-427C-9BF1-FC7B06EB316F}"/>
    <hyperlink ref="F259" r:id="rId561" xr:uid="{4D912B6E-4951-4D2C-8869-C961F63FDAEE}"/>
    <hyperlink ref="F260" r:id="rId562" xr:uid="{B3A2D733-BD8E-4AB1-BF7A-342DB811594A}"/>
    <hyperlink ref="F261" r:id="rId563" xr:uid="{4EC4589E-306A-4D20-8D74-F8EAE9A5AA7B}"/>
    <hyperlink ref="F262" r:id="rId564" xr:uid="{272AE1AD-A867-4E9B-A0FB-A33508A25173}"/>
    <hyperlink ref="F263" r:id="rId565" xr:uid="{D80F9015-77E6-4ED5-AD79-233FB59C8785}"/>
    <hyperlink ref="F264" r:id="rId566" xr:uid="{7427190A-3831-481C-8390-532BA3AD66FE}"/>
    <hyperlink ref="F265" r:id="rId567" xr:uid="{CAEA60E0-A784-4CFA-81A6-8B8C83AA8D14}"/>
    <hyperlink ref="F266" r:id="rId568" xr:uid="{4E0A3D02-AB19-40CF-915E-3A8332E9EAD5}"/>
    <hyperlink ref="F267" r:id="rId569" xr:uid="{7DF45287-45E2-4940-B194-E31A2EAB217A}"/>
    <hyperlink ref="F268" r:id="rId570" xr:uid="{61445094-A5A0-4B87-85B5-FE57777BB911}"/>
    <hyperlink ref="F269" r:id="rId571" xr:uid="{A543DED5-0C31-4426-8155-039E658F89F9}"/>
    <hyperlink ref="F270" r:id="rId572" xr:uid="{90FEB1F9-1A74-4212-9AAF-1849DFA69359}"/>
    <hyperlink ref="F271" r:id="rId573" xr:uid="{974AA005-8EA4-475D-98DD-5CE6B3F88626}"/>
    <hyperlink ref="F272" r:id="rId574" xr:uid="{D0D1B3CB-2E28-443B-9BE9-4BD421F8041C}"/>
    <hyperlink ref="F273" r:id="rId575" xr:uid="{CFB6C010-00C3-4EB6-8F09-510B22E0C850}"/>
    <hyperlink ref="F274" r:id="rId576" xr:uid="{75FAF692-58DD-40EB-BBA4-85D34EE310BD}"/>
    <hyperlink ref="F275" r:id="rId577" xr:uid="{5D42CB96-F2BC-44E1-9E91-DC128CF1A7B7}"/>
    <hyperlink ref="F276" r:id="rId578" xr:uid="{417120D5-7978-4A54-9CF9-BCDED29B2B53}"/>
    <hyperlink ref="H259" r:id="rId579" xr:uid="{F6F3AA5C-D287-4AFD-9BE8-738166F65DA2}"/>
    <hyperlink ref="H260" r:id="rId580" xr:uid="{0DA5E3BA-129B-424C-9AAC-FC274B0CCD8A}"/>
    <hyperlink ref="H261" r:id="rId581" xr:uid="{DA43299E-3891-48AE-BB9E-65578EB0B896}"/>
    <hyperlink ref="H262" r:id="rId582" xr:uid="{42BEA9F4-55B2-491D-8A25-95B5118FF118}"/>
    <hyperlink ref="H263" r:id="rId583" xr:uid="{20CD5734-C142-41CC-971A-7F12BBA4AD0E}"/>
    <hyperlink ref="H264" r:id="rId584" xr:uid="{F230BEF2-37B0-47EF-B5D4-66F72BEA4C80}"/>
    <hyperlink ref="H265" r:id="rId585" xr:uid="{66B443F8-E52B-4D43-A50C-4E72741177D0}"/>
    <hyperlink ref="H266" r:id="rId586" xr:uid="{22D3E527-C45F-479E-AA0A-915F77A8499C}"/>
    <hyperlink ref="H267" r:id="rId587" xr:uid="{5AEC9F1A-45F4-45A1-A24A-78D372093E27}"/>
    <hyperlink ref="H268" r:id="rId588" xr:uid="{86D73274-3A8E-4514-A898-47D477CDCDC9}"/>
    <hyperlink ref="H269" r:id="rId589" xr:uid="{A4E8BB8A-6BF6-4F98-BCE3-065367D898E8}"/>
    <hyperlink ref="H270" r:id="rId590" xr:uid="{49F35B1E-9A52-4751-9EF7-55443FA5C0D0}"/>
    <hyperlink ref="H271" r:id="rId591" xr:uid="{8B9E59CA-55AB-40D7-B628-1A2AEC9DE27A}"/>
    <hyperlink ref="H272" r:id="rId592" xr:uid="{F5A36A79-1075-4F0A-8BD5-7241FBF123CA}"/>
    <hyperlink ref="H273" r:id="rId593" xr:uid="{F6A7A857-11D0-45CD-B37B-80725948BDA3}"/>
    <hyperlink ref="H274" r:id="rId594" xr:uid="{00FF2D63-606E-4A1E-90E7-DC971263C89B}"/>
    <hyperlink ref="H275" r:id="rId595" xr:uid="{5B182352-F74D-4DFE-9673-575747B73EC8}"/>
    <hyperlink ref="F278" r:id="rId596" xr:uid="{2979C097-85C6-425B-8F85-97CF10ABF936}"/>
    <hyperlink ref="F279" r:id="rId597" xr:uid="{CD85F852-CFBA-4A75-8384-A9E8A03396A8}"/>
    <hyperlink ref="F280" r:id="rId598" xr:uid="{C0E6E605-1A65-4C3F-95E0-6F0BABE8D4D2}"/>
    <hyperlink ref="F281" r:id="rId599" xr:uid="{3EDD2A57-F5F3-4B58-B348-173AF1AD4C74}"/>
    <hyperlink ref="F282" r:id="rId600" xr:uid="{345218ED-E320-4AFE-9C96-124CEDF134E4}"/>
    <hyperlink ref="F283" r:id="rId601" xr:uid="{EC716150-1553-49F0-B512-6D508D6D0015}"/>
    <hyperlink ref="F284" r:id="rId602" xr:uid="{55020D5B-8265-48D9-82AB-1983EC0A3AE7}"/>
    <hyperlink ref="F285" r:id="rId603" xr:uid="{1DA30AE5-4196-48AA-B0C9-1143AA365FCB}"/>
    <hyperlink ref="F286" r:id="rId604" xr:uid="{D729988D-E680-46B2-B102-080BBA87EAA9}"/>
    <hyperlink ref="F287" r:id="rId605" xr:uid="{75C2B13C-77EA-423F-A09C-DC32DBAE133D}"/>
    <hyperlink ref="G278" r:id="rId606" xr:uid="{80EA7481-511D-4960-9B7A-6B4BC9F9C4B9}"/>
    <hyperlink ref="G279" r:id="rId607" xr:uid="{6E0905E7-386E-4FB4-B604-E47429C0E673}"/>
    <hyperlink ref="G280" r:id="rId608" xr:uid="{D2E4F502-0495-4946-9EB8-29FD81F3FF63}"/>
    <hyperlink ref="G281" r:id="rId609" xr:uid="{DEF11658-A205-497D-A33B-A7C244D0E119}"/>
    <hyperlink ref="G282" r:id="rId610" xr:uid="{33991D86-77DA-418B-A2F9-ECF0AFBC0242}"/>
    <hyperlink ref="G283" r:id="rId611" xr:uid="{16D14FF0-148F-49AA-B5E6-51FFCF421E75}"/>
    <hyperlink ref="G284" r:id="rId612" xr:uid="{4395FD45-EB77-4E69-B075-14C72A8BC34E}"/>
    <hyperlink ref="G285" r:id="rId613" xr:uid="{9E7DCF5B-D037-455D-AADE-D2FE7C350402}"/>
    <hyperlink ref="G286" r:id="rId614" xr:uid="{36F8D6AB-41B1-457F-AC71-F56609C103E9}"/>
    <hyperlink ref="G287" r:id="rId615" xr:uid="{6E5E4171-8972-4506-AF35-4C0C63F3C0C1}"/>
    <hyperlink ref="H154" r:id="rId616" xr:uid="{02B3BB28-88B1-46AB-B7AF-70CA68A89401}"/>
    <hyperlink ref="H155" r:id="rId617" xr:uid="{5886C8D3-5FF7-4ACC-9080-65E998836283}"/>
    <hyperlink ref="H156" r:id="rId618" xr:uid="{8EDF971E-6302-48D9-AFD6-64778D40D76E}"/>
    <hyperlink ref="H157" r:id="rId619" xr:uid="{F2AE3FE4-BE9B-41D0-A3E9-739E8DE724B1}"/>
    <hyperlink ref="H158" r:id="rId620" xr:uid="{C2FC2DB4-463D-4A00-85C0-27B52B8DC483}"/>
    <hyperlink ref="H159" r:id="rId621" xr:uid="{824BA4AA-63CC-422B-817A-BFBA131C7879}"/>
    <hyperlink ref="H160" r:id="rId622" xr:uid="{C312AD99-BFEA-4DD8-BE40-E1C184417B46}"/>
    <hyperlink ref="H161" r:id="rId623" xr:uid="{506883C1-0670-4C03-AF75-5DD1F9D4477B}"/>
    <hyperlink ref="H162" r:id="rId624" xr:uid="{C96CDA9B-4CC3-4CB0-8741-8749FC5D2319}"/>
    <hyperlink ref="H163" r:id="rId625" xr:uid="{3607A776-10C1-409E-BE66-B9E4408F51C9}"/>
    <hyperlink ref="H164" r:id="rId626" xr:uid="{6CE34F50-362A-49CB-8413-91454FBCE8D5}"/>
    <hyperlink ref="H165" r:id="rId627" xr:uid="{22B0C7AF-9143-49EA-8123-6EFA43579E94}"/>
    <hyperlink ref="H166" r:id="rId628" xr:uid="{9BE06465-89F3-467D-B291-E1CA69A4F446}"/>
    <hyperlink ref="H167" r:id="rId629" xr:uid="{385F3DDB-86A3-4E74-9918-5A53B2443219}"/>
    <hyperlink ref="H168" r:id="rId630" xr:uid="{7C77C6DE-D5CB-47AC-ABAC-6435EED17517}"/>
    <hyperlink ref="H169" r:id="rId631" xr:uid="{3E5B42B9-F7F1-41FE-A55A-A67CBE75C2F3}"/>
    <hyperlink ref="H171" r:id="rId632" xr:uid="{D1990F0B-7921-45B6-A50D-9986BDDDAF2B}"/>
    <hyperlink ref="H172" r:id="rId633" xr:uid="{52121E51-313F-4763-A981-308C4BEB85C6}"/>
    <hyperlink ref="H173" r:id="rId634" xr:uid="{4B840EA0-8FF4-4AF6-980A-193B162CC951}"/>
    <hyperlink ref="H174" r:id="rId635" xr:uid="{7E392433-064B-447B-8EA8-609407C72ACE}"/>
    <hyperlink ref="H99" r:id="rId636" xr:uid="{2E425BC9-C106-4510-A6D6-1C913D14A13F}"/>
    <hyperlink ref="H102" r:id="rId637" xr:uid="{6124A29F-9952-4353-BC5F-BA3BD570D37E}"/>
    <hyperlink ref="H103" r:id="rId638" xr:uid="{771AAF2D-CE7D-4BC2-8A81-2EE33DF956AC}"/>
    <hyperlink ref="H110" r:id="rId639" xr:uid="{331CDE88-CDDF-4E2C-86F1-7F1109968CD9}"/>
    <hyperlink ref="G100" r:id="rId640" xr:uid="{83DBBD33-CA9E-408C-80CC-7948119C4119}"/>
    <hyperlink ref="G103" r:id="rId641" xr:uid="{B5B72794-2E82-4814-8C0F-E9478ABA1318}"/>
    <hyperlink ref="F289" r:id="rId642" xr:uid="{22226FD6-5F19-40F9-9555-0A41283F6233}"/>
    <hyperlink ref="F290" r:id="rId643" xr:uid="{DA5FA3D7-7AA2-4D86-89BB-7283B6A522AB}"/>
    <hyperlink ref="F291" r:id="rId644" xr:uid="{30B50672-1C49-47E6-87C3-5B3AF7EF9119}"/>
    <hyperlink ref="F292" r:id="rId645" xr:uid="{AEFDBEC9-BE08-4887-866B-07937F5B582B}"/>
    <hyperlink ref="F293" r:id="rId646" xr:uid="{BB158CE4-8D97-4476-AF68-35EEC5F81279}"/>
    <hyperlink ref="F294" r:id="rId647" xr:uid="{3EDE9DE4-4C14-45C0-BCBC-592E41DB79FF}"/>
    <hyperlink ref="F295" r:id="rId648" xr:uid="{A7E9ED48-49A5-4E1F-8910-D0980FCD47C3}"/>
    <hyperlink ref="F296" r:id="rId649" xr:uid="{7DF5DB79-311B-4FEA-9830-B4B1EB6F5383}"/>
    <hyperlink ref="F297" r:id="rId650" xr:uid="{30963AF1-916B-4C62-9C05-92E3C9C0DC3A}"/>
    <hyperlink ref="F298" r:id="rId651" xr:uid="{362E03B5-C40A-4286-8831-183A1E343149}"/>
    <hyperlink ref="F299" r:id="rId652" xr:uid="{D3F839A1-DDC5-471D-86FE-27578471AEEF}"/>
    <hyperlink ref="F300" r:id="rId653" xr:uid="{047A913C-D208-42F6-B350-C32188D803F1}"/>
    <hyperlink ref="F301" r:id="rId654" xr:uid="{B5BD291E-D261-4B87-A490-DB15CB55FE8A}"/>
    <hyperlink ref="F302" r:id="rId655" xr:uid="{8024A8A3-8254-4961-9BD3-5A554AC0E359}"/>
    <hyperlink ref="F303" r:id="rId656" xr:uid="{7D3393B5-EEBF-4A5C-8EEE-F0942FDFA705}"/>
    <hyperlink ref="F304" r:id="rId657" xr:uid="{917221F6-16B1-4C96-8AB8-EB0438F23BF2}"/>
    <hyperlink ref="F305" r:id="rId658" xr:uid="{FF8959E0-9958-4FF9-9E5E-A69CA3A93345}"/>
    <hyperlink ref="F306" r:id="rId659" xr:uid="{4E18B879-F681-47A6-9469-7DA850B663FE}"/>
    <hyperlink ref="F307" r:id="rId660" xr:uid="{A3579334-3F0A-404B-B78C-B0E2C972FBD0}"/>
    <hyperlink ref="F308" r:id="rId661" xr:uid="{36ED554F-F989-4A92-966C-06C9D9E7D7DA}"/>
    <hyperlink ref="F309" r:id="rId662" xr:uid="{3B83FFA0-D0C5-4849-BF4D-0381CC4B48D4}"/>
    <hyperlink ref="F310" r:id="rId663" xr:uid="{908DDD08-0200-4CCD-A022-390FDC2F75A8}"/>
    <hyperlink ref="F311" r:id="rId664" xr:uid="{5B8CB49F-7F8D-4EBD-B8C5-DCECD07F8881}"/>
    <hyperlink ref="F312" r:id="rId665" xr:uid="{AB24654E-3D82-4024-BE39-1945F56B6BF4}"/>
    <hyperlink ref="F313" r:id="rId666" xr:uid="{8138C2A0-85C2-43B7-A393-6957DE3D0ABA}"/>
    <hyperlink ref="F314" r:id="rId667" xr:uid="{63F20546-9806-4167-813E-BEEEDD5EBC50}"/>
    <hyperlink ref="G289" r:id="rId668" xr:uid="{4BB0F049-53AA-44A2-AAA8-1506B9A7BC12}"/>
    <hyperlink ref="G290" r:id="rId669" xr:uid="{3A8366E6-A225-4511-83F6-32170D50923A}"/>
    <hyperlink ref="G291" r:id="rId670" xr:uid="{6EFADDD5-0E3D-45B4-9129-8CCC29E2697A}"/>
    <hyperlink ref="G292" r:id="rId671" xr:uid="{7546C6CA-D4BA-4D69-949E-4EB143584B8F}"/>
    <hyperlink ref="G293" r:id="rId672" xr:uid="{EDB97795-282D-411A-9D01-D4D8C248652A}"/>
    <hyperlink ref="G294" r:id="rId673" xr:uid="{48D31C6A-06B5-456E-B5E9-28E41344B227}"/>
    <hyperlink ref="G295" r:id="rId674" xr:uid="{51B08EB1-D3C5-4378-A878-76149A77A34A}"/>
    <hyperlink ref="G297" r:id="rId675" xr:uid="{3F492C54-B267-415E-B8D4-CC8E61FDA221}"/>
    <hyperlink ref="G298" r:id="rId676" xr:uid="{B7D03894-4D86-4725-B0C0-A43C12FBC438}"/>
    <hyperlink ref="G299" r:id="rId677" xr:uid="{4C544062-55B7-47D2-B00B-3AE76886827F}"/>
    <hyperlink ref="G300" r:id="rId678" xr:uid="{96DA6B5B-16F2-4770-8D3B-0EF0B6433FEE}"/>
    <hyperlink ref="G301" r:id="rId679" xr:uid="{72B948F1-38EA-4048-9929-AB64665D5060}"/>
    <hyperlink ref="G302" r:id="rId680" xr:uid="{67F6D284-DCF6-4E08-992B-FD151BCA11C2}"/>
    <hyperlink ref="G303" r:id="rId681" xr:uid="{BDC00226-9E43-4DEC-B25F-D70BC2E8BB10}"/>
    <hyperlink ref="G304" r:id="rId682" xr:uid="{5F9245A3-C716-4C19-931F-172CA21AC01F}"/>
    <hyperlink ref="G305" r:id="rId683" xr:uid="{DFD55BC7-F2D7-4AF3-A11B-AE366FE41F39}"/>
    <hyperlink ref="G306" r:id="rId684" xr:uid="{C8E18F1A-1170-42C4-AF68-4885FA65273F}"/>
    <hyperlink ref="G307" r:id="rId685" xr:uid="{9BC4039A-92A0-4023-94E4-504469BE2237}"/>
    <hyperlink ref="G308" r:id="rId686" xr:uid="{3EE0554F-B2E4-4F84-9A29-C48A5FB4F221}"/>
    <hyperlink ref="G309" r:id="rId687" xr:uid="{6DAC77C4-82C2-4698-841F-DCB2ED4060C5}"/>
    <hyperlink ref="G310" r:id="rId688" xr:uid="{F1B1BDEF-B99A-4674-98D2-9C8A5ACF4CC1}"/>
    <hyperlink ref="G311" r:id="rId689" xr:uid="{A889D8EC-D3C9-446D-910B-A9A6D3481BC1}"/>
    <hyperlink ref="G312" r:id="rId690" xr:uid="{1DA272DD-F0D0-47F9-8EEF-2C9799FDB436}"/>
    <hyperlink ref="G313" r:id="rId691" xr:uid="{A6DF0FA3-4E9D-47D6-9964-6ED3494E69F2}"/>
    <hyperlink ref="G314" r:id="rId692" xr:uid="{E0612E8F-3051-4E4B-9ADC-6C2A0ADF8DFF}"/>
    <hyperlink ref="H226" r:id="rId693" xr:uid="{A3BDFCDF-7664-4F99-84B8-F688555592BA}"/>
    <hyperlink ref="H227" r:id="rId694" xr:uid="{411B3BEC-E014-4F5B-BB9E-D608C9ED6078}"/>
    <hyperlink ref="H228" r:id="rId695" xr:uid="{67A33A54-2C02-4D81-B993-24403880B4F9}"/>
    <hyperlink ref="H229" r:id="rId696" xr:uid="{95E9BE0D-7085-4BAE-AEE7-BB899FD767C0}"/>
    <hyperlink ref="H230" r:id="rId697" xr:uid="{2CE6F898-35E8-431C-A388-34286F87617E}"/>
    <hyperlink ref="H231" r:id="rId698" xr:uid="{B40A5FF5-A6BA-4F25-B6CB-4FDEB7C1B56B}"/>
    <hyperlink ref="H232" r:id="rId699" xr:uid="{E729E667-CBA1-48F6-83FE-83C1763A8147}"/>
    <hyperlink ref="H233" r:id="rId700" xr:uid="{FC204B42-B44B-4A42-B5EE-75ED3FED2B4E}"/>
    <hyperlink ref="H234" r:id="rId701" xr:uid="{D8DF4E8B-ABDC-4E21-81FE-9F0CDE75F539}"/>
    <hyperlink ref="H235" r:id="rId702" xr:uid="{96A0F122-D596-4077-B30B-768D4A0654AA}"/>
    <hyperlink ref="H236" r:id="rId703" xr:uid="{D4FE5952-7322-48EF-9064-76A176A06F4F}"/>
    <hyperlink ref="H237" r:id="rId704" xr:uid="{2E6A972B-4C2E-4B4D-9D33-71F8C439E0D5}"/>
    <hyperlink ref="H238" r:id="rId705" xr:uid="{B959F4B5-E8D8-4AE3-8F6A-4268C4248EF7}"/>
    <hyperlink ref="H239" r:id="rId706" xr:uid="{2720F8B8-1431-4190-8ED0-F5B9CF69406A}"/>
    <hyperlink ref="H240" r:id="rId707" xr:uid="{EE245630-E550-4399-BABF-3498914DCB10}"/>
    <hyperlink ref="H242" r:id="rId708" xr:uid="{BCF668E1-C444-48F9-BFAD-16D86894B342}"/>
    <hyperlink ref="G204" r:id="rId709" xr:uid="{CD0F46A8-C2C8-44B3-B89A-E78EB503A7C0}"/>
    <hyperlink ref="G205" r:id="rId710" xr:uid="{038A95C1-DD2D-4732-847A-B753045CBBB0}"/>
    <hyperlink ref="G206" r:id="rId711" xr:uid="{E51422A7-FBAD-4760-9012-2EEB80523CDE}"/>
    <hyperlink ref="G207" r:id="rId712" xr:uid="{B1954FE9-B81B-43D5-B25E-4C9B664649DB}"/>
    <hyperlink ref="G208" r:id="rId713" xr:uid="{C44749B3-C689-4B25-9D1F-77A00CFC2034}"/>
    <hyperlink ref="G209" r:id="rId714" xr:uid="{C16EED2E-199B-417C-8EAB-6425D1A37B24}"/>
    <hyperlink ref="G210" r:id="rId715" xr:uid="{1FADB6AA-0381-4B1F-9F3F-F97B762F57AE}"/>
    <hyperlink ref="G211" r:id="rId716" xr:uid="{4F7D4426-B410-4894-BC8B-69D433C5C439}"/>
    <hyperlink ref="G212" r:id="rId717" xr:uid="{8D22D444-2905-4ED1-9F3F-A90A9F99F95A}"/>
    <hyperlink ref="G213" r:id="rId718" xr:uid="{A48C7A99-9B8A-40A8-B0F1-283169CE7A1C}"/>
    <hyperlink ref="G214" r:id="rId719" xr:uid="{72321D46-EEAA-4E4A-9D3A-1257CE117EE6}"/>
    <hyperlink ref="G215" r:id="rId720" xr:uid="{672E3070-8E75-47E6-977A-47373D72E814}"/>
    <hyperlink ref="G216" r:id="rId721" xr:uid="{EDC57985-8DDE-4780-B753-19C2A7B29E1C}"/>
    <hyperlink ref="G217" r:id="rId722" xr:uid="{C0DD4F4F-6731-41D6-B39E-AAC06B0928DA}"/>
    <hyperlink ref="G218" r:id="rId723" xr:uid="{1932C2EE-F694-46E7-988B-10D926D2030A}"/>
    <hyperlink ref="G219" r:id="rId724" xr:uid="{C4F4DE33-8543-4E74-BB10-CA5AFD2A1B68}"/>
    <hyperlink ref="G220" r:id="rId725" xr:uid="{7EF275D2-8D56-4CAD-92C7-12418B44B923}"/>
    <hyperlink ref="G221" r:id="rId726" xr:uid="{B0C93115-FCAC-4078-B287-5F6B091DEA54}"/>
    <hyperlink ref="G222" r:id="rId727" xr:uid="{213A6F45-B9DB-409F-A813-2D0D67947FA5}"/>
    <hyperlink ref="G223" r:id="rId728" xr:uid="{EF60D3E7-F5E7-48CA-9A59-1BAC8BA33D12}"/>
    <hyperlink ref="G224" r:id="rId729" xr:uid="{04718E0F-2C90-40D2-A940-57CDA7243DA0}"/>
    <hyperlink ref="G184" r:id="rId730" xr:uid="{8D980CD7-B610-4CDF-B7E6-D3865D50CAD3}"/>
    <hyperlink ref="G185" r:id="rId731" xr:uid="{E506063D-38B5-46C5-BCE5-0697065658C0}"/>
    <hyperlink ref="G186" r:id="rId732" xr:uid="{FDDFA57E-017E-437E-A1AF-67812EDAF7DD}"/>
    <hyperlink ref="G187" r:id="rId733" xr:uid="{89280A79-F81B-4F67-8736-795F8933671B}"/>
    <hyperlink ref="G188" r:id="rId734" xr:uid="{37AC0552-423A-4553-84DD-19CCFDE17314}"/>
    <hyperlink ref="G189" r:id="rId735" xr:uid="{BB51FEF3-85C6-45FE-AD77-6DA0783E1990}"/>
    <hyperlink ref="G190" r:id="rId736" xr:uid="{3C640BA5-C2D0-4E98-8572-26366EA7A5C9}"/>
    <hyperlink ref="G191" r:id="rId737" xr:uid="{F80572E6-8FF2-4CD6-9192-2179F2DCE0B9}"/>
    <hyperlink ref="G192" r:id="rId738" xr:uid="{8415F66A-923D-45BA-833B-1C07C13F91E4}"/>
    <hyperlink ref="G193" r:id="rId739" xr:uid="{DFDB65ED-AD11-4788-B2C3-7B63D2EAE3B1}"/>
    <hyperlink ref="G194" r:id="rId740" xr:uid="{9297C977-576D-4D3B-B6B0-2D29C492172E}"/>
    <hyperlink ref="G195" r:id="rId741" xr:uid="{91610186-812D-4A2E-833B-D79594FAC68D}"/>
    <hyperlink ref="G196" r:id="rId742" xr:uid="{C3988D6C-DF2F-4237-97E2-CC9CCB652B4F}"/>
    <hyperlink ref="H289" r:id="rId743" xr:uid="{F8C60B2B-8422-4E97-8894-F0194DED9F06}"/>
    <hyperlink ref="H290" r:id="rId744" xr:uid="{D67D4382-90AD-4036-8BCA-E0E60C553498}"/>
    <hyperlink ref="H291" r:id="rId745" xr:uid="{9CAC409C-2093-44FD-BCE5-4FD2CAF44F3F}"/>
    <hyperlink ref="H292" r:id="rId746" xr:uid="{DECBD848-46CB-4803-9A84-D11BAC5E093F}"/>
    <hyperlink ref="H293" r:id="rId747" xr:uid="{CEF5E8BA-5E55-4070-B3D3-15EA93F1AF80}"/>
    <hyperlink ref="H294" r:id="rId748" xr:uid="{70DBC439-7D71-4E92-82C1-DA005491E231}"/>
    <hyperlink ref="H295" r:id="rId749" xr:uid="{6DDBAECA-39F5-4CF9-8FA5-49832851ED0F}"/>
    <hyperlink ref="H297" r:id="rId750" xr:uid="{A4446CA0-8EB0-4B4B-BD1F-9429D7EE38CC}"/>
    <hyperlink ref="H298" r:id="rId751" xr:uid="{E2EABB0E-78F6-49C5-9533-13255067555D}"/>
    <hyperlink ref="H299" r:id="rId752" xr:uid="{E08C92DB-5424-4B46-8650-9B285322FF9C}"/>
    <hyperlink ref="H300" r:id="rId753" xr:uid="{0832B156-6537-4F6A-835A-F02100B10744}"/>
    <hyperlink ref="H301" r:id="rId754" xr:uid="{595A2C63-B117-4864-9E7E-1C95E9E2293B}"/>
    <hyperlink ref="H302" r:id="rId755" xr:uid="{DFF31CD8-D01B-4B5C-AD6D-B9157A7EEB9A}"/>
    <hyperlink ref="H303" r:id="rId756" xr:uid="{0FFF9186-90CB-4443-A045-90CECBA2286A}"/>
    <hyperlink ref="H304" r:id="rId757" xr:uid="{506B2BE9-4B78-48FF-8383-1EBF8146EF5E}"/>
    <hyperlink ref="H305" r:id="rId758" xr:uid="{AB2F71DE-CBEE-4CCF-AFDF-A6ADCFDF0A5B}"/>
    <hyperlink ref="H306" r:id="rId759" xr:uid="{AEFC7E52-9133-429C-9B20-BBBD42C2D34D}"/>
    <hyperlink ref="H307" r:id="rId760" xr:uid="{694D915F-2391-4A91-B130-C08804B19D7D}"/>
    <hyperlink ref="H308" r:id="rId761" xr:uid="{C00D608D-8C2A-4285-91F6-67CEE8113BC6}"/>
    <hyperlink ref="H309" r:id="rId762" xr:uid="{2FEEC200-53C6-4933-B204-AA1B93AF0AC2}"/>
    <hyperlink ref="H310" r:id="rId763" xr:uid="{6E678F6A-490C-44F6-88BB-F7E8D73B2F2A}"/>
    <hyperlink ref="H311" r:id="rId764" xr:uid="{7D6B7887-5D93-4DAC-95B3-4DFBD4562362}"/>
    <hyperlink ref="H312" r:id="rId765" xr:uid="{FF51388F-5673-4402-B276-989751CA4BC2}"/>
    <hyperlink ref="H313" r:id="rId766" xr:uid="{31950B3D-B998-4720-875B-7D8B71418934}"/>
    <hyperlink ref="H314" r:id="rId767" xr:uid="{6D07427E-99DF-41DA-9760-7363EED8C982}"/>
    <hyperlink ref="H278" r:id="rId768" xr:uid="{88C561D2-08DB-4DF8-BA54-0647BEFE27F2}"/>
    <hyperlink ref="H279" r:id="rId769" xr:uid="{30A16905-F96C-4AAA-8682-129355ED3B31}"/>
    <hyperlink ref="H280" r:id="rId770" xr:uid="{62F2D228-DE98-4313-BF2F-94CCB890D351}"/>
    <hyperlink ref="H281" r:id="rId771" xr:uid="{A7943685-742E-4369-B9CA-9D50DA83E942}"/>
    <hyperlink ref="H282" r:id="rId772" xr:uid="{95E33E48-22E4-40A6-B29A-0B74A69B645D}"/>
    <hyperlink ref="H283" r:id="rId773" xr:uid="{97E9F1DB-91D9-466F-BF41-C1837FC25107}"/>
    <hyperlink ref="H284" r:id="rId774" xr:uid="{D02DA1AF-A134-496C-9AB1-6AA81784F958}"/>
    <hyperlink ref="H285" r:id="rId775" xr:uid="{594862BA-0D3D-47E9-BFEA-5B95F14B4E0B}"/>
    <hyperlink ref="H286" r:id="rId776" xr:uid="{7D3E91DE-CCA9-4D3E-BDFB-B6339F8115DC}"/>
    <hyperlink ref="H287" r:id="rId777" xr:uid="{257FD6D3-69B5-476D-B4F4-FBCDE63A6AFB}"/>
    <hyperlink ref="H204" r:id="rId778" xr:uid="{237F4057-3CE6-4AAB-8EFD-9691FB193272}"/>
    <hyperlink ref="H205" r:id="rId779" xr:uid="{458738CD-2D99-4093-A534-865C77684E83}"/>
    <hyperlink ref="H206" r:id="rId780" xr:uid="{94E7A317-2054-490E-8AF7-A7FB42B29964}"/>
    <hyperlink ref="H207" r:id="rId781" xr:uid="{08B296E6-375B-494A-B745-FFA56780B0B3}"/>
    <hyperlink ref="H208" r:id="rId782" xr:uid="{9B13A1AC-EDAB-4F2F-BEBD-EBDF21C7AFEC}"/>
    <hyperlink ref="H209" r:id="rId783" xr:uid="{838088B0-278A-42BB-826E-882AE05FDBE5}"/>
    <hyperlink ref="H210" r:id="rId784" xr:uid="{840597BE-3B59-4925-BD68-DC183C62EE78}"/>
    <hyperlink ref="H211" r:id="rId785" xr:uid="{B95B91EF-D7F2-4E4F-BA99-BAA3E32600C4}"/>
    <hyperlink ref="H212" r:id="rId786" xr:uid="{8D35F23A-D2AD-4436-9E56-3DBFFBBC7F60}"/>
    <hyperlink ref="H213" r:id="rId787" xr:uid="{43B37CB5-11A5-409D-B7CB-AB1927FAB9AF}"/>
    <hyperlink ref="H214" r:id="rId788" xr:uid="{8738A934-651B-4DE6-B876-26B69511F5B0}"/>
    <hyperlink ref="H215" r:id="rId789" xr:uid="{E9A75E1E-6C52-4709-8ADB-501AFA457B03}"/>
    <hyperlink ref="H216" r:id="rId790" xr:uid="{3B476729-16BA-45E4-8D8D-CD82C129A870}"/>
    <hyperlink ref="H217" r:id="rId791" xr:uid="{C674EB61-CAED-4A9C-81F2-759687E8A394}"/>
    <hyperlink ref="H218" r:id="rId792" xr:uid="{C68C4967-CAC3-4740-AE01-79CED52EF482}"/>
    <hyperlink ref="H219" r:id="rId793" xr:uid="{8F35A139-C7B2-4607-99CC-45919354AB40}"/>
    <hyperlink ref="H220" r:id="rId794" xr:uid="{71576604-B3FA-45EC-96A4-1B3BDDD70E73}"/>
    <hyperlink ref="H221" r:id="rId795" xr:uid="{9A4B7C13-E67F-4B32-A1EE-66FA88B9A848}"/>
    <hyperlink ref="H222" r:id="rId796" xr:uid="{99A7CE78-C496-4F27-A274-E2570286B47E}"/>
    <hyperlink ref="H223" r:id="rId797" xr:uid="{700B9185-D51D-4AE3-9B8A-6C9BA4DD18D1}"/>
    <hyperlink ref="H224" r:id="rId798" xr:uid="{606E5E0D-1D29-4230-BC02-A28C37ECC01E}"/>
    <hyperlink ref="H170" r:id="rId799" xr:uid="{21A13C96-AA8F-49FD-A45F-DD0C01467344}"/>
    <hyperlink ref="G154" r:id="rId800" xr:uid="{FDBF2222-1598-4F01-B975-F5F0C6D1486B}"/>
    <hyperlink ref="G155" r:id="rId801" xr:uid="{377E23C8-B6F5-402B-B06D-0F9A3F2B02DE}"/>
    <hyperlink ref="G156" r:id="rId802" xr:uid="{3C1367CA-1AD0-458C-8E45-2F2E621EAC8B}"/>
    <hyperlink ref="G157" r:id="rId803" xr:uid="{41E6E85A-8238-43A5-8F22-DDE4EAEAC9A9}"/>
    <hyperlink ref="G158" r:id="rId804" xr:uid="{EFF69AE9-95A3-4B22-B4E5-1E64425E07A2}"/>
    <hyperlink ref="G159" r:id="rId805" xr:uid="{11A467DF-839C-4665-80A1-776DC46D1627}"/>
    <hyperlink ref="G160" r:id="rId806" xr:uid="{3A758CF7-F051-44E3-97A4-09E9082EF64B}"/>
    <hyperlink ref="G161" r:id="rId807" xr:uid="{6B0FABEC-C557-4C10-B564-613074A7792A}"/>
    <hyperlink ref="G162" r:id="rId808" xr:uid="{04A5D758-5A63-4FAB-BD13-0E439FFE059F}"/>
    <hyperlink ref="G164" r:id="rId809" xr:uid="{666C8D23-FA1D-4696-99EC-7A6F25A44ACA}"/>
    <hyperlink ref="G165" r:id="rId810" xr:uid="{80A96D2F-7F0A-4F88-BBF4-3C565F951DC6}"/>
    <hyperlink ref="G166" r:id="rId811" xr:uid="{F5781FC8-73D0-4E4B-9143-B3395A913951}"/>
    <hyperlink ref="G167" r:id="rId812" xr:uid="{6E2BC19B-6139-447D-B2EE-3576445F0ED4}"/>
    <hyperlink ref="G168" r:id="rId813" xr:uid="{900C70E5-5B2B-45D5-BB3B-7414EC18FD30}"/>
    <hyperlink ref="G169" r:id="rId814" xr:uid="{B3F592DE-5602-4BDE-89F8-41644DD77C5F}"/>
    <hyperlink ref="G170" r:id="rId815" xr:uid="{2F22574D-C7EB-4509-82CB-7F104E84C5E4}"/>
    <hyperlink ref="G171" r:id="rId816" xr:uid="{144E39B7-5BBC-4658-B16E-158561C20399}"/>
    <hyperlink ref="G172" r:id="rId817" xr:uid="{40364B86-E1C9-4283-BECA-5AD84B73455E}"/>
    <hyperlink ref="G173" r:id="rId818" xr:uid="{684E2A55-7A1C-404A-ACAE-E280AF01DE18}"/>
    <hyperlink ref="G174" r:id="rId819" xr:uid="{42BA0F35-D159-431D-940D-0CF21182A8F5}"/>
    <hyperlink ref="G176" r:id="rId820" xr:uid="{F11A5BAA-24BF-411A-ABC8-D34686602FB8}"/>
    <hyperlink ref="G177" r:id="rId821" xr:uid="{ED47A089-82FD-43FF-B3C9-6BD69FA82F16}"/>
    <hyperlink ref="G178" r:id="rId822" xr:uid="{2C5338FE-FB18-4908-B363-3F01FC689E71}"/>
    <hyperlink ref="G179" r:id="rId823" xr:uid="{3AF7BEAD-13A8-4440-922B-C1D93825EA29}"/>
    <hyperlink ref="G180" r:id="rId824" xr:uid="{76E4BB86-89DD-405C-835E-D2EF2090FED6}"/>
    <hyperlink ref="G181" r:id="rId825" xr:uid="{4F1B8FD5-49FD-4937-A228-9AF0B3DF76A6}"/>
    <hyperlink ref="G49" r:id="rId826" xr:uid="{C77A57F3-9453-4A43-BBB0-9B5564D32C8D}"/>
    <hyperlink ref="H17" r:id="rId827" xr:uid="{E9E0A40F-3F71-4F7F-9EE3-39E57EF08F8E}"/>
    <hyperlink ref="G259" r:id="rId828" xr:uid="{2A165599-67F5-44BE-83F2-BA3A03CBD59D}"/>
    <hyperlink ref="G260" r:id="rId829" xr:uid="{A9F157F0-9E7D-41BD-A9F3-0FC86A5E902B}"/>
    <hyperlink ref="G261" r:id="rId830" xr:uid="{6C14C6A4-A64D-4C8A-83A2-5C57B0DAC002}"/>
    <hyperlink ref="G262" r:id="rId831" xr:uid="{04453F65-745D-4C6D-95FD-22846B94D434}"/>
    <hyperlink ref="G263" r:id="rId832" xr:uid="{CB9CC37F-BC54-46C5-AEB7-949EC6293F49}"/>
    <hyperlink ref="G264" r:id="rId833" xr:uid="{34AAC7CB-961D-4507-B6AF-33F9E2406DE3}"/>
    <hyperlink ref="G265" r:id="rId834" xr:uid="{E1CEAD1D-E96E-4B5B-A5E6-97F48B3C4AF9}"/>
    <hyperlink ref="G266" r:id="rId835" xr:uid="{45298DCF-BD43-4D96-BE51-26FAE3B8A64E}"/>
    <hyperlink ref="G267" r:id="rId836" xr:uid="{66122612-4A3E-44FA-B456-4F0F88B570D1}"/>
    <hyperlink ref="G268" r:id="rId837" xr:uid="{5D7CDDAB-DA3F-407F-B076-79002A475D48}"/>
    <hyperlink ref="G269" r:id="rId838" xr:uid="{BDE094CD-5721-4F18-A965-B70D1BF2C5BD}"/>
    <hyperlink ref="G270" r:id="rId839" xr:uid="{817DA599-9C91-4550-ABC1-A8ED1FA82F3B}"/>
    <hyperlink ref="G271" r:id="rId840" xr:uid="{DE701D7D-13AC-4022-8A32-28CE4958003F}"/>
    <hyperlink ref="G272" r:id="rId841" xr:uid="{87727E67-DDD7-4265-9C95-005457BC10E6}"/>
    <hyperlink ref="G273" r:id="rId842" xr:uid="{DAA1258D-D6D9-4FBC-8F63-776E9D4FEAC7}"/>
    <hyperlink ref="G274" r:id="rId843" xr:uid="{03E48719-E85D-4766-81C7-3B3A3F50F038}"/>
    <hyperlink ref="G275" r:id="rId844" xr:uid="{472BE47B-D659-4F34-A7F2-B84FB25F3F8B}"/>
    <hyperlink ref="G276" r:id="rId845" xr:uid="{8ABA7ADE-CEA0-4890-92B8-39A2514A48F0}"/>
    <hyperlink ref="H276" r:id="rId846" xr:uid="{C6997A07-47F9-4B91-BA2A-18F95822B639}"/>
  </hyperlinks>
  <pageMargins left="0.7" right="0.7" top="0.75" bottom="0.75" header="0.3" footer="0.3"/>
  <legacyDrawing r:id="rId84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8261A-2777-4A9C-8CBC-13BAA2F0725E}">
  <sheetPr>
    <tabColor rgb="FFFF0000"/>
  </sheetPr>
  <dimension ref="A1:R210"/>
  <sheetViews>
    <sheetView topLeftCell="A3" workbookViewId="0">
      <selection activeCell="G7" sqref="G7"/>
    </sheetView>
  </sheetViews>
  <sheetFormatPr defaultRowHeight="15"/>
  <cols>
    <col min="1" max="1" width="6.28515625" style="331" customWidth="1"/>
    <col min="2" max="2" width="8.140625" style="250" customWidth="1"/>
    <col min="3" max="3" width="20.5703125" style="250" customWidth="1"/>
    <col min="4" max="4" width="9" style="250" customWidth="1"/>
    <col min="5" max="5" width="47.28515625" style="250" customWidth="1"/>
    <col min="6" max="6" width="26.28515625" style="250" customWidth="1"/>
    <col min="7" max="7" width="30.5703125" style="250" customWidth="1"/>
    <col min="8" max="8" width="9.140625" style="250"/>
    <col min="9" max="9" width="21.28515625" style="251" customWidth="1"/>
    <col min="10" max="10" width="9.140625" style="250"/>
    <col min="11" max="11" width="13.42578125" style="338" customWidth="1"/>
    <col min="12" max="16384" width="9.140625" style="250"/>
  </cols>
  <sheetData>
    <row r="1" spans="1:18" s="330" customFormat="1" ht="18.75" customHeight="1">
      <c r="A1" s="3" t="s">
        <v>171</v>
      </c>
      <c r="B1" s="3" t="s">
        <v>1</v>
      </c>
      <c r="C1" s="3" t="s">
        <v>172</v>
      </c>
      <c r="D1" s="3" t="s">
        <v>173</v>
      </c>
      <c r="E1" s="3" t="s">
        <v>174</v>
      </c>
      <c r="F1" s="4" t="s">
        <v>175</v>
      </c>
      <c r="G1" s="349" t="s">
        <v>176</v>
      </c>
      <c r="H1" s="4" t="s">
        <v>177</v>
      </c>
      <c r="I1" s="3" t="s">
        <v>178</v>
      </c>
      <c r="J1" s="4" t="s">
        <v>179</v>
      </c>
      <c r="K1" s="335" t="s">
        <v>180</v>
      </c>
      <c r="L1" s="3" t="s">
        <v>181</v>
      </c>
      <c r="M1" s="4" t="s">
        <v>182</v>
      </c>
      <c r="N1" s="41" t="s">
        <v>3</v>
      </c>
      <c r="O1"/>
      <c r="P1"/>
      <c r="Q1"/>
      <c r="R1"/>
    </row>
    <row r="2" spans="1:18" ht="14.25" customHeight="1">
      <c r="A2" s="596"/>
      <c r="B2" s="598"/>
      <c r="C2" s="594" t="s">
        <v>443</v>
      </c>
      <c r="D2" s="22">
        <v>0</v>
      </c>
      <c r="E2" s="139" t="s">
        <v>3267</v>
      </c>
      <c r="F2" s="66"/>
      <c r="G2" s="57" t="s">
        <v>3268</v>
      </c>
      <c r="H2" s="21"/>
      <c r="I2" s="28" t="s">
        <v>188</v>
      </c>
      <c r="J2" s="10" t="s">
        <v>187</v>
      </c>
      <c r="K2" s="362" t="s">
        <v>3371</v>
      </c>
      <c r="L2" s="81">
        <v>1.170138888888889E-2</v>
      </c>
      <c r="M2" s="548"/>
      <c r="N2" s="572"/>
      <c r="O2"/>
      <c r="P2"/>
      <c r="Q2"/>
      <c r="R2"/>
    </row>
    <row r="3" spans="1:18" ht="14.25" customHeight="1">
      <c r="A3" s="597"/>
      <c r="B3" s="581"/>
      <c r="C3" s="595"/>
      <c r="D3" s="22">
        <v>1</v>
      </c>
      <c r="E3" s="139" t="s">
        <v>3272</v>
      </c>
      <c r="F3" s="21"/>
      <c r="G3" s="57" t="s">
        <v>3273</v>
      </c>
      <c r="H3" s="21" t="s">
        <v>248</v>
      </c>
      <c r="I3" s="28" t="s">
        <v>188</v>
      </c>
      <c r="J3" s="1" t="s">
        <v>187</v>
      </c>
      <c r="K3" s="336" t="s">
        <v>3372</v>
      </c>
      <c r="L3" s="81">
        <v>1.2118055555555556E-2</v>
      </c>
      <c r="M3" s="548"/>
      <c r="N3" s="572"/>
      <c r="O3"/>
      <c r="P3"/>
      <c r="Q3"/>
      <c r="R3"/>
    </row>
    <row r="4" spans="1:18" ht="14.25" customHeight="1">
      <c r="A4" s="597"/>
      <c r="B4" s="581"/>
      <c r="C4" s="595"/>
      <c r="D4" s="22">
        <v>2</v>
      </c>
      <c r="E4" s="139" t="s">
        <v>3373</v>
      </c>
      <c r="F4" s="66"/>
      <c r="G4" s="57" t="s">
        <v>3277</v>
      </c>
      <c r="H4" s="21" t="s">
        <v>248</v>
      </c>
      <c r="I4" s="28" t="s">
        <v>188</v>
      </c>
      <c r="J4" s="1" t="s">
        <v>187</v>
      </c>
      <c r="K4" s="336" t="s">
        <v>3374</v>
      </c>
      <c r="L4" s="81">
        <v>2.2222222222222223E-2</v>
      </c>
      <c r="M4" s="548"/>
      <c r="N4" s="572"/>
      <c r="O4"/>
      <c r="P4"/>
      <c r="Q4"/>
      <c r="R4"/>
    </row>
    <row r="5" spans="1:18" ht="14.25" customHeight="1">
      <c r="A5" s="597"/>
      <c r="B5" s="581"/>
      <c r="C5" s="347" t="s">
        <v>3280</v>
      </c>
      <c r="D5" s="352"/>
      <c r="E5" s="139" t="s">
        <v>3281</v>
      </c>
      <c r="F5" s="66"/>
      <c r="G5" s="350" t="s">
        <v>3282</v>
      </c>
      <c r="H5" s="21"/>
      <c r="I5" s="28" t="s">
        <v>188</v>
      </c>
      <c r="J5" s="1" t="s">
        <v>187</v>
      </c>
      <c r="K5" s="336" t="s">
        <v>3375</v>
      </c>
      <c r="L5" s="81">
        <v>8.1597222222222227E-3</v>
      </c>
      <c r="M5" s="548"/>
      <c r="N5" s="572"/>
      <c r="O5"/>
      <c r="P5"/>
      <c r="Q5"/>
      <c r="R5"/>
    </row>
    <row r="6" spans="1:18" ht="14.25" customHeight="1">
      <c r="A6" s="597"/>
      <c r="B6" s="581"/>
      <c r="C6" s="595" t="s">
        <v>447</v>
      </c>
      <c r="D6" s="22">
        <v>3</v>
      </c>
      <c r="E6" s="139" t="s">
        <v>3285</v>
      </c>
      <c r="F6" s="66"/>
      <c r="G6" s="57" t="s">
        <v>3286</v>
      </c>
      <c r="H6" s="21" t="s">
        <v>248</v>
      </c>
      <c r="I6" s="28" t="s">
        <v>188</v>
      </c>
      <c r="J6" s="1" t="s">
        <v>187</v>
      </c>
      <c r="K6" s="336" t="s">
        <v>3376</v>
      </c>
      <c r="L6" s="81">
        <v>1.7407407407407406E-2</v>
      </c>
      <c r="M6" s="548"/>
      <c r="N6" s="572"/>
      <c r="O6"/>
      <c r="P6"/>
      <c r="Q6"/>
      <c r="R6"/>
    </row>
    <row r="7" spans="1:18" ht="14.25" customHeight="1">
      <c r="A7" s="597"/>
      <c r="B7" s="581"/>
      <c r="C7" s="595"/>
      <c r="D7" s="19">
        <v>4</v>
      </c>
      <c r="E7" s="139" t="s">
        <v>3289</v>
      </c>
      <c r="F7" s="76"/>
      <c r="G7" s="484" t="s">
        <v>3377</v>
      </c>
      <c r="H7" s="21"/>
      <c r="I7" s="28" t="s">
        <v>188</v>
      </c>
      <c r="J7" s="1" t="s">
        <v>187</v>
      </c>
      <c r="K7" s="336" t="s">
        <v>3378</v>
      </c>
      <c r="L7" s="81">
        <v>7.7777777777777776E-3</v>
      </c>
      <c r="M7" s="548"/>
      <c r="N7" s="572"/>
      <c r="O7"/>
      <c r="P7"/>
      <c r="Q7"/>
      <c r="R7"/>
    </row>
    <row r="8" spans="1:18" ht="14.25" customHeight="1">
      <c r="A8" s="597"/>
      <c r="B8" s="581"/>
      <c r="C8" s="595"/>
      <c r="D8" s="19">
        <v>5</v>
      </c>
      <c r="E8" s="139" t="s">
        <v>3293</v>
      </c>
      <c r="F8" s="76"/>
      <c r="G8" s="57" t="s">
        <v>3294</v>
      </c>
      <c r="H8" s="21"/>
      <c r="I8" s="28" t="s">
        <v>188</v>
      </c>
      <c r="J8" s="1" t="s">
        <v>187</v>
      </c>
      <c r="K8" s="105" t="s">
        <v>3379</v>
      </c>
      <c r="L8" s="81">
        <v>9.7106481481481488E-3</v>
      </c>
      <c r="M8" s="548"/>
      <c r="N8" s="572"/>
      <c r="O8"/>
      <c r="P8"/>
      <c r="Q8"/>
      <c r="R8"/>
    </row>
    <row r="9" spans="1:18" ht="14.25" customHeight="1">
      <c r="A9" s="597"/>
      <c r="B9" s="581"/>
      <c r="C9" s="347" t="s">
        <v>3280</v>
      </c>
      <c r="D9" s="351"/>
      <c r="E9" s="139" t="s">
        <v>3380</v>
      </c>
      <c r="F9" s="76"/>
      <c r="G9" s="350" t="s">
        <v>3298</v>
      </c>
      <c r="H9" s="21" t="s">
        <v>3381</v>
      </c>
      <c r="I9" s="28" t="s">
        <v>188</v>
      </c>
      <c r="J9" s="1" t="s">
        <v>187</v>
      </c>
      <c r="K9" s="362"/>
      <c r="L9" s="81"/>
      <c r="M9" s="548"/>
      <c r="N9" s="572"/>
      <c r="O9"/>
      <c r="P9"/>
      <c r="Q9"/>
      <c r="R9"/>
    </row>
    <row r="10" spans="1:18" ht="14.25" customHeight="1">
      <c r="A10" s="597"/>
      <c r="B10" s="581"/>
      <c r="C10" s="532" t="s">
        <v>451</v>
      </c>
      <c r="D10" s="19">
        <v>6</v>
      </c>
      <c r="E10" s="139" t="s">
        <v>3382</v>
      </c>
      <c r="F10" s="76"/>
      <c r="G10" s="57" t="s">
        <v>3300</v>
      </c>
      <c r="H10" s="21"/>
      <c r="I10" s="28" t="s">
        <v>188</v>
      </c>
      <c r="J10" s="1" t="s">
        <v>187</v>
      </c>
      <c r="K10" s="105" t="s">
        <v>3383</v>
      </c>
      <c r="L10" s="81">
        <v>3.6342592592592594E-3</v>
      </c>
      <c r="M10" s="548"/>
      <c r="N10" s="572"/>
      <c r="O10"/>
      <c r="P10"/>
      <c r="Q10"/>
      <c r="R10"/>
    </row>
    <row r="11" spans="1:18" ht="14.25" customHeight="1">
      <c r="A11" s="597"/>
      <c r="B11" s="581"/>
      <c r="C11" s="532"/>
      <c r="D11" s="19">
        <v>7</v>
      </c>
      <c r="E11" s="139" t="s">
        <v>3303</v>
      </c>
      <c r="F11" s="67"/>
      <c r="G11" s="57" t="s">
        <v>3304</v>
      </c>
      <c r="H11" s="21" t="s">
        <v>248</v>
      </c>
      <c r="I11" s="28" t="s">
        <v>188</v>
      </c>
      <c r="J11" s="1" t="s">
        <v>187</v>
      </c>
      <c r="K11" s="105" t="s">
        <v>3384</v>
      </c>
      <c r="L11" s="81">
        <v>1.412037037037037E-2</v>
      </c>
      <c r="M11" s="548"/>
      <c r="N11" s="572"/>
      <c r="O11"/>
      <c r="P11"/>
      <c r="Q11"/>
      <c r="R11"/>
    </row>
    <row r="12" spans="1:18" ht="14.25" customHeight="1">
      <c r="A12" s="597"/>
      <c r="B12" s="581"/>
      <c r="C12" s="532"/>
      <c r="D12" s="19">
        <v>8</v>
      </c>
      <c r="E12" s="139" t="s">
        <v>3307</v>
      </c>
      <c r="F12" s="67"/>
      <c r="G12" s="57" t="s">
        <v>3308</v>
      </c>
      <c r="H12" s="21" t="s">
        <v>248</v>
      </c>
      <c r="I12" s="28" t="s">
        <v>188</v>
      </c>
      <c r="J12" s="1" t="s">
        <v>187</v>
      </c>
      <c r="K12" s="105" t="s">
        <v>3385</v>
      </c>
      <c r="L12" s="81">
        <v>1.170138888888889E-2</v>
      </c>
      <c r="M12" s="548"/>
      <c r="N12" s="572"/>
      <c r="O12"/>
      <c r="P12"/>
      <c r="Q12"/>
      <c r="R12"/>
    </row>
    <row r="13" spans="1:18" ht="14.25" customHeight="1">
      <c r="A13" s="597"/>
      <c r="B13" s="581"/>
      <c r="C13" s="532" t="s">
        <v>455</v>
      </c>
      <c r="D13" s="19">
        <v>9</v>
      </c>
      <c r="E13" s="139" t="s">
        <v>3311</v>
      </c>
      <c r="F13" s="76"/>
      <c r="G13" s="57" t="s">
        <v>3312</v>
      </c>
      <c r="H13" s="21" t="s">
        <v>248</v>
      </c>
      <c r="I13" s="28" t="s">
        <v>188</v>
      </c>
      <c r="J13" s="1" t="s">
        <v>187</v>
      </c>
      <c r="K13" s="105" t="s">
        <v>3386</v>
      </c>
      <c r="L13" s="81">
        <v>1.255787037037037E-2</v>
      </c>
      <c r="M13" s="548"/>
      <c r="N13" s="572"/>
      <c r="O13"/>
      <c r="P13"/>
      <c r="Q13"/>
      <c r="R13"/>
    </row>
    <row r="14" spans="1:18" ht="14.25" customHeight="1">
      <c r="A14" s="597"/>
      <c r="B14" s="581"/>
      <c r="C14" s="532"/>
      <c r="D14" s="19">
        <v>10</v>
      </c>
      <c r="E14" s="139" t="s">
        <v>3315</v>
      </c>
      <c r="F14" s="76"/>
      <c r="G14" s="57" t="s">
        <v>3316</v>
      </c>
      <c r="H14" s="21"/>
      <c r="I14" s="28" t="s">
        <v>188</v>
      </c>
      <c r="J14" s="1" t="s">
        <v>187</v>
      </c>
      <c r="K14" s="105" t="s">
        <v>3387</v>
      </c>
      <c r="L14" s="81">
        <v>7.1180555555555554E-3</v>
      </c>
      <c r="M14" s="548"/>
      <c r="N14" s="572"/>
      <c r="O14"/>
      <c r="P14"/>
      <c r="Q14"/>
      <c r="R14"/>
    </row>
    <row r="15" spans="1:18" ht="14.25" customHeight="1">
      <c r="A15" s="597"/>
      <c r="B15" s="581"/>
      <c r="C15" s="532"/>
      <c r="D15" s="19">
        <v>11</v>
      </c>
      <c r="E15" s="139" t="s">
        <v>3319</v>
      </c>
      <c r="F15" s="76"/>
      <c r="G15" s="57" t="s">
        <v>3320</v>
      </c>
      <c r="H15" s="21" t="s">
        <v>248</v>
      </c>
      <c r="I15" s="28" t="s">
        <v>188</v>
      </c>
      <c r="J15" s="1" t="s">
        <v>187</v>
      </c>
      <c r="K15" s="105" t="s">
        <v>3388</v>
      </c>
      <c r="L15" s="81">
        <v>6.6203703703703702E-3</v>
      </c>
      <c r="M15" s="548"/>
      <c r="N15" s="572"/>
      <c r="O15"/>
      <c r="P15"/>
      <c r="Q15"/>
      <c r="R15"/>
    </row>
    <row r="16" spans="1:18" ht="14.25" customHeight="1">
      <c r="A16" s="597"/>
      <c r="B16" s="581"/>
      <c r="C16" s="532"/>
      <c r="D16" s="19">
        <v>12</v>
      </c>
      <c r="E16" s="139" t="s">
        <v>3323</v>
      </c>
      <c r="F16" s="67"/>
      <c r="G16" s="57" t="s">
        <v>3324</v>
      </c>
      <c r="H16" s="21" t="s">
        <v>248</v>
      </c>
      <c r="I16" s="28" t="s">
        <v>188</v>
      </c>
      <c r="J16" s="81" t="s">
        <v>187</v>
      </c>
      <c r="K16" s="105" t="s">
        <v>3389</v>
      </c>
      <c r="L16" s="81">
        <v>6.6435185185185182E-3</v>
      </c>
      <c r="M16" s="548"/>
      <c r="N16" s="572"/>
      <c r="O16"/>
      <c r="P16"/>
      <c r="Q16"/>
      <c r="R16"/>
    </row>
    <row r="17" spans="1:18" ht="14.25" customHeight="1">
      <c r="A17" s="597"/>
      <c r="B17" s="581"/>
      <c r="C17" s="536" t="s">
        <v>459</v>
      </c>
      <c r="D17" s="19">
        <v>13</v>
      </c>
      <c r="E17" s="348" t="s">
        <v>3390</v>
      </c>
      <c r="F17" s="67"/>
      <c r="G17" s="57" t="s">
        <v>3328</v>
      </c>
      <c r="H17" s="21"/>
      <c r="I17" s="28" t="s">
        <v>188</v>
      </c>
      <c r="J17" s="28" t="s">
        <v>187</v>
      </c>
      <c r="K17" s="105" t="s">
        <v>3391</v>
      </c>
      <c r="L17" s="81">
        <v>1.0717592592592593E-2</v>
      </c>
      <c r="M17" s="548"/>
      <c r="N17" s="572"/>
      <c r="O17"/>
      <c r="P17"/>
      <c r="Q17"/>
      <c r="R17"/>
    </row>
    <row r="18" spans="1:18" ht="14.25" customHeight="1">
      <c r="A18" s="597"/>
      <c r="B18" s="581"/>
      <c r="C18" s="536"/>
      <c r="D18" s="19">
        <v>14</v>
      </c>
      <c r="E18" s="139" t="s">
        <v>3392</v>
      </c>
      <c r="F18" s="76"/>
      <c r="G18" s="57" t="s">
        <v>3332</v>
      </c>
      <c r="H18" s="21"/>
      <c r="I18" s="28" t="s">
        <v>188</v>
      </c>
      <c r="J18" s="28" t="s">
        <v>187</v>
      </c>
      <c r="K18" s="361" t="s">
        <v>3393</v>
      </c>
      <c r="L18" s="81"/>
      <c r="M18" s="548"/>
      <c r="N18" s="572"/>
      <c r="O18"/>
      <c r="P18"/>
      <c r="Q18"/>
      <c r="R18"/>
    </row>
    <row r="19" spans="1:18" ht="14.25" customHeight="1">
      <c r="A19" s="597"/>
      <c r="B19" s="581"/>
      <c r="C19" s="536" t="s">
        <v>463</v>
      </c>
      <c r="D19" s="19">
        <v>15</v>
      </c>
      <c r="E19" s="139" t="s">
        <v>3335</v>
      </c>
      <c r="F19" s="77"/>
      <c r="G19" s="57" t="s">
        <v>3336</v>
      </c>
      <c r="H19" s="21"/>
      <c r="I19" s="28" t="s">
        <v>188</v>
      </c>
      <c r="J19" s="28" t="s">
        <v>187</v>
      </c>
      <c r="K19" s="105" t="s">
        <v>3394</v>
      </c>
      <c r="L19" s="81">
        <v>1.0277777777777778E-2</v>
      </c>
      <c r="M19" s="548"/>
      <c r="N19" s="572"/>
      <c r="O19"/>
      <c r="P19"/>
      <c r="Q19"/>
      <c r="R19"/>
    </row>
    <row r="20" spans="1:18" ht="14.25" customHeight="1">
      <c r="A20" s="597"/>
      <c r="B20" s="581"/>
      <c r="C20" s="536"/>
      <c r="D20" s="19">
        <v>16</v>
      </c>
      <c r="E20" s="139" t="s">
        <v>3339</v>
      </c>
      <c r="F20" s="77"/>
      <c r="G20" s="57" t="s">
        <v>3340</v>
      </c>
      <c r="H20" s="21"/>
      <c r="I20" s="28" t="s">
        <v>188</v>
      </c>
      <c r="J20" s="28" t="s">
        <v>187</v>
      </c>
      <c r="K20" s="105" t="s">
        <v>3395</v>
      </c>
      <c r="L20" s="81">
        <v>1.170138888888889E-2</v>
      </c>
      <c r="M20" s="548"/>
      <c r="N20" s="572"/>
      <c r="O20"/>
      <c r="P20"/>
      <c r="Q20"/>
      <c r="R20"/>
    </row>
    <row r="21" spans="1:18" ht="14.25" customHeight="1">
      <c r="A21" s="597"/>
      <c r="B21" s="581"/>
      <c r="C21" s="577" t="s">
        <v>467</v>
      </c>
      <c r="D21" s="19">
        <v>17</v>
      </c>
      <c r="E21" s="250" t="s">
        <v>3396</v>
      </c>
      <c r="F21" s="77"/>
      <c r="G21" s="57" t="s">
        <v>3344</v>
      </c>
      <c r="H21" s="21" t="s">
        <v>248</v>
      </c>
      <c r="I21" s="28" t="s">
        <v>188</v>
      </c>
      <c r="J21" s="28" t="s">
        <v>187</v>
      </c>
      <c r="K21" s="105" t="s">
        <v>3397</v>
      </c>
      <c r="L21" s="81"/>
      <c r="M21" s="548"/>
      <c r="N21" s="572"/>
      <c r="O21"/>
      <c r="P21"/>
      <c r="Q21"/>
      <c r="R21"/>
    </row>
    <row r="22" spans="1:18" ht="14.25" customHeight="1">
      <c r="A22" s="597"/>
      <c r="B22" s="581"/>
      <c r="C22" s="577"/>
      <c r="D22" s="19">
        <v>18</v>
      </c>
      <c r="E22" s="139" t="s">
        <v>3398</v>
      </c>
      <c r="F22" s="68"/>
      <c r="G22" s="57" t="s">
        <v>3348</v>
      </c>
      <c r="H22" s="21" t="s">
        <v>248</v>
      </c>
      <c r="I22" s="28" t="s">
        <v>188</v>
      </c>
      <c r="J22" s="28" t="s">
        <v>187</v>
      </c>
      <c r="K22" s="105" t="s">
        <v>3399</v>
      </c>
      <c r="L22" s="81"/>
      <c r="M22" s="548"/>
      <c r="N22" s="572"/>
      <c r="O22"/>
      <c r="P22"/>
      <c r="Q22"/>
      <c r="R22"/>
    </row>
    <row r="23" spans="1:18" ht="14.25" customHeight="1">
      <c r="A23" s="597"/>
      <c r="B23" s="581"/>
      <c r="C23" s="577"/>
      <c r="D23" s="19">
        <v>19</v>
      </c>
      <c r="E23" s="139" t="s">
        <v>3400</v>
      </c>
      <c r="F23" s="68"/>
      <c r="G23" s="57" t="s">
        <v>3352</v>
      </c>
      <c r="H23" s="21" t="s">
        <v>248</v>
      </c>
      <c r="I23" s="28" t="s">
        <v>188</v>
      </c>
      <c r="J23" s="28" t="s">
        <v>187</v>
      </c>
      <c r="K23" s="105" t="s">
        <v>3401</v>
      </c>
      <c r="L23" s="81"/>
      <c r="M23" s="548"/>
      <c r="N23" s="572"/>
      <c r="O23"/>
      <c r="P23"/>
      <c r="Q23"/>
      <c r="R23"/>
    </row>
    <row r="24" spans="1:18" ht="14.25" customHeight="1">
      <c r="A24" s="597"/>
      <c r="B24" s="581"/>
      <c r="C24" s="577"/>
      <c r="D24" s="19">
        <v>20</v>
      </c>
      <c r="E24" s="139" t="s">
        <v>3402</v>
      </c>
      <c r="F24" s="68"/>
      <c r="G24" s="57" t="s">
        <v>3356</v>
      </c>
      <c r="H24" s="21" t="s">
        <v>248</v>
      </c>
      <c r="I24" s="28" t="s">
        <v>188</v>
      </c>
      <c r="J24" s="28" t="s">
        <v>187</v>
      </c>
      <c r="K24" s="105" t="s">
        <v>3403</v>
      </c>
      <c r="L24" s="81"/>
      <c r="M24" s="548"/>
      <c r="N24" s="572"/>
      <c r="O24"/>
      <c r="P24"/>
      <c r="Q24"/>
      <c r="R24"/>
    </row>
    <row r="25" spans="1:18" ht="14.25" customHeight="1">
      <c r="A25" s="597"/>
      <c r="B25" s="581"/>
      <c r="C25" s="577"/>
      <c r="D25" s="19">
        <v>21</v>
      </c>
      <c r="E25" s="139" t="s">
        <v>3404</v>
      </c>
      <c r="F25" s="68"/>
      <c r="G25" s="57" t="s">
        <v>3360</v>
      </c>
      <c r="H25" s="21" t="s">
        <v>248</v>
      </c>
      <c r="I25" s="28" t="s">
        <v>188</v>
      </c>
      <c r="J25" s="28" t="s">
        <v>187</v>
      </c>
      <c r="K25" s="105" t="s">
        <v>3405</v>
      </c>
      <c r="L25" s="81"/>
      <c r="M25" s="548"/>
      <c r="N25" s="572"/>
      <c r="O25"/>
      <c r="P25"/>
      <c r="Q25"/>
      <c r="R25"/>
    </row>
    <row r="26" spans="1:18" ht="14.25" customHeight="1">
      <c r="A26" s="597"/>
      <c r="B26" s="581"/>
      <c r="C26" s="577"/>
      <c r="D26" s="19">
        <v>22</v>
      </c>
      <c r="E26" s="139" t="s">
        <v>3406</v>
      </c>
      <c r="F26" s="68"/>
      <c r="G26" s="57" t="s">
        <v>3364</v>
      </c>
      <c r="H26" s="21" t="s">
        <v>248</v>
      </c>
      <c r="I26" s="28" t="s">
        <v>188</v>
      </c>
      <c r="J26" s="28" t="s">
        <v>187</v>
      </c>
      <c r="K26" s="105" t="s">
        <v>3407</v>
      </c>
      <c r="L26" s="81"/>
      <c r="M26" s="548"/>
      <c r="N26" s="572"/>
      <c r="O26"/>
      <c r="P26"/>
      <c r="Q26"/>
      <c r="R26"/>
    </row>
    <row r="27" spans="1:18" ht="14.25" customHeight="1">
      <c r="A27" s="597"/>
      <c r="B27" s="581"/>
      <c r="C27" s="705"/>
      <c r="D27" s="19">
        <v>23</v>
      </c>
      <c r="E27" s="139" t="s">
        <v>3408</v>
      </c>
      <c r="F27" s="68"/>
      <c r="G27" s="57" t="s">
        <v>3368</v>
      </c>
      <c r="H27" s="21" t="s">
        <v>248</v>
      </c>
      <c r="I27" s="28" t="s">
        <v>188</v>
      </c>
      <c r="J27" s="28" t="s">
        <v>187</v>
      </c>
      <c r="K27" s="105" t="s">
        <v>3409</v>
      </c>
      <c r="L27" s="81"/>
      <c r="M27" s="548"/>
      <c r="N27" s="572"/>
      <c r="O27"/>
      <c r="P27"/>
      <c r="Q27"/>
      <c r="R27"/>
    </row>
    <row r="28" spans="1:18" s="333" customFormat="1">
      <c r="A28" s="332"/>
      <c r="B28" s="332"/>
      <c r="C28" s="332"/>
      <c r="D28" s="332"/>
      <c r="E28" s="332"/>
      <c r="F28" s="332"/>
      <c r="G28" s="332"/>
      <c r="H28" s="332"/>
      <c r="I28" s="337"/>
      <c r="J28" s="332"/>
      <c r="K28" s="337"/>
      <c r="L28" s="332"/>
      <c r="M28" s="332"/>
      <c r="N28" s="332"/>
      <c r="O28" s="332"/>
      <c r="P28" s="332"/>
      <c r="Q28" s="332"/>
      <c r="R28" s="332"/>
    </row>
    <row r="29" spans="1:18">
      <c r="A29" s="139"/>
      <c r="B29" s="139"/>
      <c r="C29" s="139"/>
      <c r="D29" s="139"/>
      <c r="E29" s="139"/>
      <c r="F29" s="139"/>
      <c r="G29" s="139"/>
      <c r="H29" s="139"/>
      <c r="I29" s="322"/>
      <c r="J29" s="139"/>
      <c r="K29" s="322"/>
      <c r="L29" s="139"/>
      <c r="M29" s="139"/>
      <c r="N29" s="139"/>
      <c r="O29" s="139"/>
      <c r="P29" s="139"/>
      <c r="Q29" s="139"/>
      <c r="R29" s="139"/>
    </row>
    <row r="30" spans="1:18">
      <c r="A30" s="139"/>
      <c r="B30" s="139"/>
      <c r="C30" s="139"/>
      <c r="D30" s="139"/>
      <c r="E30" s="139"/>
      <c r="F30" s="334"/>
      <c r="G30" s="139"/>
      <c r="H30" s="139"/>
      <c r="I30" s="322"/>
      <c r="J30" s="139"/>
      <c r="K30" s="322"/>
      <c r="L30" s="139"/>
      <c r="M30" s="139"/>
      <c r="N30" s="139"/>
      <c r="O30" s="139"/>
      <c r="P30" s="139"/>
      <c r="Q30" s="139"/>
      <c r="R30" s="139"/>
    </row>
    <row r="31" spans="1:18">
      <c r="A31" s="139"/>
      <c r="B31" s="139"/>
      <c r="C31" s="139"/>
      <c r="D31" s="139"/>
      <c r="E31" s="139"/>
      <c r="F31" s="139"/>
      <c r="G31" s="139"/>
      <c r="H31" s="139"/>
      <c r="I31" s="322"/>
      <c r="J31" s="139"/>
      <c r="K31" s="322"/>
      <c r="L31" s="139"/>
      <c r="M31" s="139"/>
      <c r="N31" s="139"/>
      <c r="O31" s="139"/>
      <c r="P31" s="139"/>
      <c r="Q31" s="139"/>
      <c r="R31" s="139"/>
    </row>
    <row r="32" spans="1:18">
      <c r="A32" s="139"/>
      <c r="B32" s="139"/>
      <c r="C32" s="139"/>
      <c r="D32" s="139"/>
      <c r="E32" s="139"/>
      <c r="F32" s="139"/>
      <c r="G32" s="139"/>
      <c r="H32" s="139"/>
      <c r="I32" s="322"/>
      <c r="J32" s="139"/>
      <c r="K32" s="322"/>
      <c r="L32" s="139"/>
      <c r="M32" s="139"/>
      <c r="N32" s="139"/>
      <c r="O32" s="139"/>
      <c r="P32" s="139"/>
      <c r="Q32" s="139"/>
      <c r="R32" s="139"/>
    </row>
    <row r="33" spans="1:18">
      <c r="A33" s="139"/>
      <c r="B33" s="139"/>
      <c r="C33" s="139"/>
      <c r="D33" s="139"/>
      <c r="E33" s="139"/>
      <c r="F33" s="139"/>
      <c r="G33" s="139"/>
      <c r="H33" s="139"/>
      <c r="I33" s="322"/>
      <c r="J33" s="139"/>
      <c r="K33" s="322"/>
      <c r="L33" s="139"/>
      <c r="M33" s="139"/>
      <c r="N33" s="139"/>
      <c r="O33" s="139"/>
      <c r="P33" s="139"/>
      <c r="Q33" s="139"/>
      <c r="R33" s="139"/>
    </row>
    <row r="34" spans="1:18">
      <c r="A34" s="139"/>
      <c r="B34" s="139"/>
      <c r="C34" s="139"/>
      <c r="D34" s="139"/>
      <c r="E34" s="139"/>
      <c r="F34" s="139"/>
      <c r="G34" s="139"/>
      <c r="H34" s="139"/>
      <c r="I34" s="322"/>
      <c r="J34" s="139"/>
      <c r="K34" s="322"/>
      <c r="L34" s="139"/>
      <c r="M34" s="139"/>
      <c r="N34" s="139"/>
      <c r="O34" s="139"/>
      <c r="P34" s="139"/>
      <c r="Q34" s="139"/>
      <c r="R34" s="139"/>
    </row>
    <row r="35" spans="1:18">
      <c r="A35" s="139"/>
      <c r="B35" s="139"/>
      <c r="C35" s="139"/>
      <c r="D35" s="139"/>
      <c r="E35" s="139"/>
      <c r="F35" s="139"/>
      <c r="G35" s="139"/>
      <c r="H35" s="139"/>
      <c r="I35" s="322"/>
      <c r="J35" s="139"/>
      <c r="K35" s="322"/>
      <c r="L35" s="139"/>
      <c r="M35" s="139"/>
      <c r="N35" s="139"/>
      <c r="O35" s="139"/>
      <c r="P35" s="139"/>
      <c r="Q35" s="139"/>
      <c r="R35" s="139"/>
    </row>
    <row r="36" spans="1:18">
      <c r="A36" s="139"/>
      <c r="B36" s="139"/>
      <c r="C36" s="139"/>
      <c r="D36" s="139"/>
      <c r="E36" s="139"/>
      <c r="F36" s="139"/>
      <c r="G36" s="139"/>
      <c r="H36" s="139"/>
      <c r="I36" s="322"/>
      <c r="J36" s="139"/>
      <c r="K36" s="322"/>
      <c r="L36" s="139"/>
      <c r="M36" s="139"/>
      <c r="N36" s="139"/>
      <c r="O36" s="139"/>
      <c r="P36" s="139"/>
      <c r="Q36" s="139"/>
      <c r="R36" s="139"/>
    </row>
    <row r="37" spans="1:18">
      <c r="A37" s="139"/>
      <c r="B37" s="139"/>
      <c r="C37" s="139"/>
      <c r="D37" s="139"/>
      <c r="E37" s="139"/>
      <c r="F37" s="139"/>
      <c r="G37" s="139"/>
      <c r="H37" s="139"/>
      <c r="I37" s="322"/>
      <c r="J37" s="139"/>
      <c r="K37" s="322"/>
      <c r="L37" s="139"/>
      <c r="M37" s="139"/>
      <c r="N37" s="139"/>
      <c r="O37" s="139"/>
      <c r="P37" s="139"/>
      <c r="Q37" s="139"/>
      <c r="R37" s="139"/>
    </row>
    <row r="38" spans="1:18">
      <c r="A38" s="139"/>
      <c r="B38" s="139"/>
      <c r="C38" s="139"/>
      <c r="D38" s="139"/>
      <c r="E38" s="139"/>
      <c r="F38" s="139"/>
      <c r="G38" s="139"/>
      <c r="H38" s="139"/>
      <c r="I38" s="322"/>
      <c r="J38" s="139"/>
      <c r="K38" s="322"/>
      <c r="L38" s="139"/>
      <c r="M38" s="139"/>
      <c r="N38" s="139"/>
      <c r="O38" s="139"/>
      <c r="P38" s="139"/>
      <c r="Q38" s="139"/>
      <c r="R38" s="139"/>
    </row>
    <row r="39" spans="1:18">
      <c r="A39" s="139"/>
      <c r="B39" s="139"/>
      <c r="C39" s="139"/>
      <c r="D39" s="139"/>
      <c r="E39" s="139"/>
      <c r="F39" s="139"/>
      <c r="G39" s="139"/>
      <c r="H39" s="139"/>
      <c r="I39" s="322"/>
      <c r="J39" s="139"/>
      <c r="K39" s="322"/>
      <c r="L39" s="139"/>
      <c r="M39" s="139"/>
      <c r="N39" s="139"/>
      <c r="O39" s="139"/>
      <c r="P39" s="139"/>
      <c r="Q39" s="139"/>
      <c r="R39" s="139"/>
    </row>
    <row r="40" spans="1:18">
      <c r="A40" s="139"/>
      <c r="B40" s="139"/>
      <c r="C40" s="139"/>
      <c r="D40" s="139"/>
      <c r="E40" s="139"/>
      <c r="F40" s="139"/>
      <c r="G40" s="139"/>
      <c r="H40" s="139"/>
      <c r="I40" s="322"/>
      <c r="J40" s="139"/>
      <c r="K40" s="322"/>
      <c r="L40" s="139"/>
      <c r="M40" s="139"/>
      <c r="N40" s="139"/>
      <c r="O40" s="139"/>
      <c r="P40" s="139"/>
      <c r="Q40" s="139"/>
      <c r="R40" s="139"/>
    </row>
    <row r="41" spans="1:18">
      <c r="A41" s="139"/>
      <c r="B41" s="139"/>
      <c r="C41" s="139"/>
      <c r="D41" s="139"/>
      <c r="E41" s="139"/>
      <c r="F41" s="139"/>
      <c r="G41" s="139"/>
      <c r="H41" s="139"/>
      <c r="I41" s="322"/>
      <c r="J41" s="139"/>
      <c r="K41" s="322"/>
      <c r="L41" s="139"/>
      <c r="M41" s="139"/>
      <c r="N41" s="139"/>
      <c r="O41" s="139"/>
      <c r="P41" s="139"/>
      <c r="Q41" s="139"/>
      <c r="R41" s="139"/>
    </row>
    <row r="42" spans="1:18">
      <c r="A42" s="139"/>
      <c r="B42" s="139"/>
      <c r="C42" s="139"/>
      <c r="D42" s="139"/>
      <c r="E42" s="139"/>
      <c r="F42" s="139"/>
      <c r="G42" s="139"/>
      <c r="H42" s="139"/>
      <c r="I42" s="322"/>
      <c r="J42" s="139"/>
      <c r="K42" s="322"/>
      <c r="L42" s="139"/>
      <c r="M42" s="139"/>
      <c r="N42" s="139"/>
      <c r="O42" s="139"/>
      <c r="P42" s="139"/>
      <c r="Q42" s="139"/>
      <c r="R42" s="139"/>
    </row>
    <row r="43" spans="1:18">
      <c r="A43" s="139"/>
      <c r="B43" s="139"/>
      <c r="C43" s="139"/>
      <c r="D43" s="139"/>
      <c r="E43" s="139"/>
      <c r="F43" s="139"/>
      <c r="G43" s="139"/>
      <c r="H43" s="139"/>
      <c r="I43" s="322"/>
      <c r="J43" s="139"/>
      <c r="K43" s="322"/>
      <c r="L43" s="139"/>
      <c r="M43" s="139"/>
      <c r="N43" s="139"/>
      <c r="O43" s="139"/>
      <c r="P43" s="139"/>
      <c r="Q43" s="139"/>
      <c r="R43" s="139"/>
    </row>
    <row r="44" spans="1:18">
      <c r="A44" s="139"/>
      <c r="B44" s="139"/>
      <c r="C44" s="139"/>
      <c r="D44" s="139"/>
      <c r="E44" s="139"/>
      <c r="F44" s="139"/>
      <c r="G44" s="139"/>
      <c r="H44" s="139"/>
      <c r="I44" s="322"/>
      <c r="J44" s="139"/>
      <c r="K44" s="322"/>
      <c r="L44" s="139"/>
      <c r="M44" s="139"/>
      <c r="N44" s="139"/>
      <c r="O44" s="139"/>
      <c r="P44" s="139"/>
      <c r="Q44" s="139"/>
      <c r="R44" s="139"/>
    </row>
    <row r="45" spans="1:18">
      <c r="A45" s="139"/>
      <c r="B45" s="139"/>
      <c r="C45" s="139"/>
      <c r="D45" s="139"/>
      <c r="E45" s="139"/>
      <c r="F45" s="139"/>
      <c r="G45" s="139"/>
      <c r="H45" s="139"/>
      <c r="I45" s="322"/>
      <c r="J45" s="139"/>
      <c r="K45" s="322"/>
      <c r="L45" s="139"/>
      <c r="M45" s="139"/>
      <c r="N45" s="139"/>
      <c r="O45" s="139"/>
      <c r="P45" s="139"/>
      <c r="Q45" s="139"/>
      <c r="R45" s="139"/>
    </row>
    <row r="46" spans="1:18">
      <c r="A46" s="139"/>
      <c r="B46" s="139"/>
      <c r="C46" s="139"/>
      <c r="D46" s="139"/>
      <c r="E46" s="139"/>
      <c r="F46" s="139"/>
      <c r="G46" s="139"/>
      <c r="H46" s="139"/>
      <c r="I46" s="322"/>
      <c r="J46" s="139"/>
      <c r="K46" s="322"/>
      <c r="L46" s="139"/>
      <c r="M46" s="139"/>
      <c r="N46" s="139"/>
      <c r="O46" s="139"/>
      <c r="P46" s="139"/>
      <c r="Q46" s="139"/>
      <c r="R46" s="139"/>
    </row>
    <row r="47" spans="1:18">
      <c r="A47" s="139"/>
      <c r="B47" s="139"/>
      <c r="C47" s="139"/>
      <c r="D47" s="139"/>
      <c r="E47" s="139"/>
      <c r="F47" s="139"/>
      <c r="G47" s="139"/>
      <c r="H47" s="139"/>
      <c r="I47" s="322"/>
      <c r="J47" s="139"/>
      <c r="K47" s="322"/>
      <c r="L47" s="139"/>
      <c r="M47" s="139"/>
      <c r="N47" s="139"/>
      <c r="O47" s="139"/>
      <c r="P47" s="139"/>
      <c r="Q47" s="139"/>
      <c r="R47" s="139"/>
    </row>
    <row r="48" spans="1:18">
      <c r="A48" s="139"/>
      <c r="B48" s="139"/>
      <c r="C48" s="139"/>
      <c r="D48" s="139"/>
      <c r="E48" s="139"/>
      <c r="F48" s="139"/>
      <c r="G48" s="139"/>
      <c r="H48" s="139"/>
      <c r="I48" s="322"/>
      <c r="J48" s="139"/>
      <c r="K48" s="322"/>
      <c r="L48" s="139"/>
      <c r="M48" s="139"/>
      <c r="N48" s="139"/>
      <c r="O48" s="139"/>
      <c r="P48" s="139"/>
      <c r="Q48" s="139"/>
      <c r="R48" s="139"/>
    </row>
    <row r="49" spans="1:18">
      <c r="A49" s="139"/>
      <c r="B49" s="139"/>
      <c r="C49" s="139"/>
      <c r="D49" s="139"/>
      <c r="E49" s="139"/>
      <c r="F49" s="139"/>
      <c r="G49" s="139"/>
      <c r="H49" s="139"/>
      <c r="I49" s="322"/>
      <c r="J49" s="139"/>
      <c r="K49" s="322"/>
      <c r="L49" s="139"/>
      <c r="M49" s="139"/>
      <c r="N49" s="139"/>
      <c r="O49" s="139"/>
      <c r="P49" s="139"/>
      <c r="Q49" s="139"/>
      <c r="R49" s="139"/>
    </row>
    <row r="50" spans="1:18">
      <c r="A50" s="139"/>
      <c r="B50" s="139"/>
      <c r="C50" s="139"/>
      <c r="D50" s="139"/>
      <c r="E50" s="139"/>
      <c r="F50" s="139"/>
      <c r="G50" s="139"/>
      <c r="H50" s="139"/>
      <c r="I50" s="322"/>
      <c r="J50" s="139"/>
      <c r="K50" s="322"/>
      <c r="L50" s="139"/>
      <c r="M50" s="139"/>
      <c r="N50" s="139"/>
      <c r="O50" s="139"/>
      <c r="P50" s="139"/>
      <c r="Q50" s="139"/>
      <c r="R50" s="139"/>
    </row>
    <row r="51" spans="1:18">
      <c r="A51" s="139"/>
      <c r="B51" s="139"/>
      <c r="C51" s="139"/>
      <c r="D51" s="139"/>
      <c r="E51" s="139"/>
      <c r="F51" s="139"/>
      <c r="G51" s="139"/>
      <c r="H51" s="139"/>
      <c r="I51" s="322"/>
      <c r="J51" s="139"/>
      <c r="K51" s="322"/>
      <c r="L51" s="139"/>
      <c r="M51" s="139"/>
      <c r="N51" s="139"/>
      <c r="O51" s="139"/>
      <c r="P51" s="139"/>
      <c r="Q51" s="139"/>
      <c r="R51" s="139"/>
    </row>
    <row r="52" spans="1:18">
      <c r="A52" s="139"/>
      <c r="B52" s="139"/>
      <c r="C52" s="139"/>
      <c r="D52" s="139"/>
      <c r="E52" s="139"/>
      <c r="F52" s="139"/>
      <c r="G52" s="139"/>
      <c r="H52" s="139"/>
      <c r="I52" s="322"/>
      <c r="J52" s="139"/>
      <c r="K52" s="322"/>
      <c r="L52" s="139"/>
      <c r="M52" s="139"/>
      <c r="N52" s="139"/>
      <c r="O52" s="139"/>
      <c r="P52" s="139"/>
      <c r="Q52" s="139"/>
      <c r="R52" s="139"/>
    </row>
    <row r="53" spans="1:18">
      <c r="A53" s="139"/>
      <c r="B53" s="139"/>
      <c r="C53" s="139"/>
      <c r="D53" s="139"/>
      <c r="E53" s="139"/>
      <c r="F53" s="139"/>
      <c r="G53" s="139"/>
      <c r="H53" s="139"/>
      <c r="I53" s="322"/>
      <c r="J53" s="139"/>
      <c r="K53" s="322"/>
      <c r="L53" s="139"/>
      <c r="M53" s="139"/>
      <c r="N53" s="139"/>
      <c r="O53" s="139"/>
      <c r="P53" s="139"/>
      <c r="Q53" s="139"/>
      <c r="R53" s="139"/>
    </row>
    <row r="54" spans="1:18">
      <c r="A54" s="139"/>
      <c r="B54" s="139"/>
      <c r="C54" s="139"/>
      <c r="D54" s="139"/>
      <c r="E54" s="139"/>
      <c r="F54" s="139"/>
      <c r="G54" s="139"/>
      <c r="H54" s="139"/>
      <c r="I54" s="322"/>
      <c r="J54" s="139"/>
      <c r="K54" s="322"/>
      <c r="L54" s="139"/>
      <c r="M54" s="139"/>
      <c r="N54" s="139"/>
      <c r="O54" s="139"/>
      <c r="P54" s="139"/>
      <c r="Q54" s="139"/>
      <c r="R54" s="139"/>
    </row>
    <row r="55" spans="1:18">
      <c r="A55" s="139"/>
      <c r="B55" s="139"/>
      <c r="C55" s="139"/>
      <c r="D55" s="139"/>
      <c r="E55" s="139"/>
      <c r="F55" s="139"/>
      <c r="G55" s="139"/>
      <c r="H55" s="139"/>
      <c r="I55" s="322"/>
      <c r="J55" s="139"/>
      <c r="K55" s="322"/>
      <c r="L55" s="139"/>
      <c r="M55" s="139"/>
      <c r="N55" s="139"/>
      <c r="O55" s="139"/>
      <c r="P55" s="139"/>
      <c r="Q55" s="139"/>
      <c r="R55" s="139"/>
    </row>
    <row r="56" spans="1:18">
      <c r="A56" s="139"/>
      <c r="B56" s="139"/>
      <c r="C56" s="139"/>
      <c r="D56" s="139"/>
      <c r="E56" s="139"/>
      <c r="F56" s="139"/>
      <c r="G56" s="139"/>
      <c r="H56" s="139"/>
      <c r="I56" s="322"/>
      <c r="J56" s="139"/>
      <c r="K56" s="322"/>
      <c r="L56" s="139"/>
      <c r="M56" s="139"/>
      <c r="N56" s="139"/>
      <c r="O56" s="139"/>
      <c r="P56" s="139"/>
      <c r="Q56" s="139"/>
      <c r="R56" s="139"/>
    </row>
    <row r="57" spans="1:18">
      <c r="A57" s="139"/>
      <c r="B57" s="139"/>
      <c r="C57" s="139"/>
      <c r="D57" s="139"/>
      <c r="E57" s="139"/>
      <c r="F57" s="139"/>
      <c r="G57" s="139"/>
      <c r="H57" s="139"/>
      <c r="I57" s="322"/>
      <c r="J57" s="139"/>
      <c r="K57" s="322"/>
      <c r="L57" s="139"/>
      <c r="M57" s="139"/>
      <c r="N57" s="139"/>
      <c r="O57" s="139"/>
      <c r="P57" s="139"/>
      <c r="Q57" s="139"/>
      <c r="R57" s="139"/>
    </row>
    <row r="58" spans="1:18">
      <c r="A58" s="139"/>
      <c r="B58" s="139"/>
      <c r="C58" s="139"/>
      <c r="D58" s="139"/>
      <c r="E58" s="139"/>
      <c r="F58" s="139"/>
      <c r="G58" s="139"/>
      <c r="H58" s="139"/>
      <c r="I58" s="322"/>
      <c r="J58" s="139"/>
      <c r="K58" s="322"/>
      <c r="L58" s="139"/>
      <c r="M58" s="139"/>
      <c r="N58" s="139"/>
      <c r="O58" s="139"/>
      <c r="P58" s="139"/>
      <c r="Q58" s="139"/>
      <c r="R58" s="139"/>
    </row>
    <row r="59" spans="1:18">
      <c r="A59" s="139"/>
      <c r="B59" s="139"/>
      <c r="C59" s="139"/>
      <c r="D59" s="139"/>
      <c r="E59" s="139"/>
      <c r="F59" s="139"/>
      <c r="G59" s="139"/>
      <c r="H59" s="139"/>
      <c r="I59" s="322"/>
      <c r="J59" s="139"/>
      <c r="K59" s="322"/>
      <c r="L59" s="139"/>
      <c r="M59" s="139"/>
      <c r="N59" s="139"/>
      <c r="O59" s="139"/>
      <c r="P59" s="139"/>
      <c r="Q59" s="139"/>
      <c r="R59" s="139"/>
    </row>
    <row r="60" spans="1:18">
      <c r="A60" s="139"/>
      <c r="B60" s="139"/>
      <c r="C60" s="139"/>
      <c r="D60" s="139"/>
      <c r="E60" s="139"/>
      <c r="F60" s="139"/>
      <c r="G60" s="139"/>
      <c r="H60" s="139"/>
      <c r="I60" s="322"/>
      <c r="J60" s="139"/>
      <c r="K60" s="322"/>
      <c r="L60" s="139"/>
      <c r="M60" s="139"/>
      <c r="N60" s="139"/>
      <c r="O60" s="139"/>
      <c r="P60" s="139"/>
      <c r="Q60" s="139"/>
      <c r="R60" s="139"/>
    </row>
    <row r="61" spans="1:18">
      <c r="A61" s="139"/>
      <c r="B61" s="139"/>
      <c r="C61" s="139"/>
      <c r="D61" s="139"/>
      <c r="E61" s="139"/>
      <c r="F61" s="139"/>
      <c r="G61" s="139"/>
      <c r="H61" s="139"/>
      <c r="I61" s="322"/>
      <c r="J61" s="139"/>
      <c r="K61" s="322"/>
      <c r="L61" s="139"/>
      <c r="M61" s="139"/>
      <c r="N61" s="139"/>
      <c r="O61" s="139"/>
      <c r="P61" s="139"/>
      <c r="Q61" s="139"/>
      <c r="R61" s="139"/>
    </row>
    <row r="62" spans="1:18">
      <c r="A62" s="139"/>
      <c r="B62" s="139"/>
      <c r="C62" s="139"/>
      <c r="D62" s="139"/>
      <c r="E62" s="139"/>
      <c r="F62" s="139"/>
      <c r="G62" s="139"/>
      <c r="H62" s="139"/>
      <c r="I62" s="322"/>
      <c r="J62" s="139"/>
      <c r="K62" s="322"/>
      <c r="L62" s="139"/>
      <c r="M62" s="139"/>
      <c r="N62" s="139"/>
      <c r="O62" s="139"/>
      <c r="P62" s="139"/>
      <c r="Q62" s="139"/>
      <c r="R62" s="139"/>
    </row>
    <row r="63" spans="1:18">
      <c r="A63" s="139"/>
      <c r="B63" s="139"/>
      <c r="C63" s="139"/>
      <c r="D63" s="139"/>
      <c r="E63" s="139"/>
      <c r="F63" s="139"/>
      <c r="G63" s="139"/>
      <c r="H63" s="139"/>
      <c r="I63" s="322"/>
      <c r="J63" s="139"/>
      <c r="K63" s="322"/>
      <c r="L63" s="139"/>
      <c r="M63" s="139"/>
      <c r="N63" s="139"/>
      <c r="O63" s="139"/>
      <c r="P63" s="139"/>
      <c r="Q63" s="139"/>
      <c r="R63" s="139"/>
    </row>
    <row r="64" spans="1:18">
      <c r="A64" s="139"/>
      <c r="B64" s="139"/>
      <c r="C64" s="139"/>
      <c r="D64" s="139"/>
      <c r="E64" s="139"/>
      <c r="F64" s="139"/>
      <c r="G64" s="139"/>
      <c r="H64" s="139"/>
      <c r="I64" s="322"/>
      <c r="J64" s="139"/>
      <c r="K64" s="322"/>
      <c r="L64" s="139"/>
      <c r="M64" s="139"/>
      <c r="N64" s="139"/>
      <c r="O64" s="139"/>
      <c r="P64" s="139"/>
      <c r="Q64" s="139"/>
      <c r="R64" s="139"/>
    </row>
    <row r="65" spans="1:18">
      <c r="A65" s="139"/>
      <c r="B65" s="139"/>
      <c r="C65" s="139"/>
      <c r="D65" s="139"/>
      <c r="E65" s="139"/>
      <c r="F65" s="139"/>
      <c r="G65" s="139"/>
      <c r="H65" s="139"/>
      <c r="I65" s="322"/>
      <c r="J65" s="139"/>
      <c r="K65" s="322"/>
      <c r="L65" s="139"/>
      <c r="M65" s="139"/>
      <c r="N65" s="139"/>
      <c r="O65" s="139"/>
      <c r="P65" s="139"/>
      <c r="Q65" s="139"/>
      <c r="R65" s="139"/>
    </row>
    <row r="66" spans="1:18">
      <c r="A66" s="139"/>
      <c r="B66" s="139"/>
      <c r="C66" s="139"/>
      <c r="D66" s="139"/>
      <c r="E66" s="139"/>
      <c r="F66" s="139"/>
      <c r="G66" s="139"/>
      <c r="H66" s="139"/>
      <c r="I66" s="322"/>
      <c r="J66" s="139"/>
      <c r="K66" s="322"/>
      <c r="L66" s="139"/>
      <c r="M66" s="139"/>
      <c r="N66" s="139"/>
      <c r="O66" s="139"/>
      <c r="P66" s="139"/>
      <c r="Q66" s="139"/>
      <c r="R66" s="139"/>
    </row>
    <row r="67" spans="1:18">
      <c r="A67" s="139"/>
      <c r="B67" s="139"/>
      <c r="C67" s="139"/>
      <c r="D67" s="139"/>
      <c r="E67" s="139"/>
      <c r="F67" s="139"/>
      <c r="G67" s="139"/>
      <c r="H67" s="139"/>
      <c r="I67" s="322"/>
      <c r="J67" s="139"/>
      <c r="K67" s="322"/>
      <c r="L67" s="139"/>
      <c r="M67" s="139"/>
      <c r="N67" s="139"/>
      <c r="O67" s="139"/>
      <c r="P67" s="139"/>
      <c r="Q67" s="139"/>
      <c r="R67" s="139"/>
    </row>
    <row r="68" spans="1:18">
      <c r="A68" s="139"/>
      <c r="B68" s="139"/>
      <c r="C68" s="139"/>
      <c r="D68" s="139"/>
      <c r="E68" s="139"/>
      <c r="F68" s="139"/>
      <c r="G68" s="139"/>
      <c r="H68" s="139"/>
      <c r="I68" s="322"/>
      <c r="J68" s="139"/>
      <c r="K68" s="322"/>
      <c r="L68" s="139"/>
      <c r="M68" s="139"/>
      <c r="N68" s="139"/>
      <c r="O68" s="139"/>
      <c r="P68" s="139"/>
      <c r="Q68" s="139"/>
      <c r="R68" s="139"/>
    </row>
    <row r="69" spans="1:18">
      <c r="A69" s="139"/>
      <c r="B69" s="139"/>
      <c r="C69" s="139"/>
      <c r="D69" s="139"/>
      <c r="E69" s="139"/>
      <c r="F69" s="139"/>
      <c r="G69" s="139"/>
      <c r="H69" s="139"/>
      <c r="I69" s="322"/>
      <c r="J69" s="139"/>
      <c r="K69" s="322"/>
      <c r="L69" s="139"/>
      <c r="M69" s="139"/>
      <c r="N69" s="139"/>
      <c r="O69" s="139"/>
      <c r="P69" s="139"/>
      <c r="Q69" s="139"/>
      <c r="R69" s="139"/>
    </row>
    <row r="70" spans="1:18">
      <c r="A70" s="139"/>
      <c r="B70" s="139"/>
      <c r="C70" s="139"/>
      <c r="D70" s="139"/>
      <c r="E70" s="139"/>
      <c r="F70" s="139"/>
      <c r="G70" s="139"/>
      <c r="H70" s="139"/>
      <c r="I70" s="322"/>
      <c r="J70" s="139"/>
      <c r="K70" s="322"/>
      <c r="L70" s="139"/>
      <c r="M70" s="139"/>
      <c r="N70" s="139"/>
      <c r="O70" s="139"/>
      <c r="P70" s="139"/>
      <c r="Q70" s="139"/>
      <c r="R70" s="139"/>
    </row>
    <row r="71" spans="1:18">
      <c r="A71" s="139"/>
      <c r="B71" s="139"/>
      <c r="C71" s="139"/>
      <c r="D71" s="139"/>
      <c r="E71" s="139"/>
      <c r="F71" s="139"/>
      <c r="G71" s="139"/>
      <c r="H71" s="139"/>
      <c r="I71" s="322"/>
      <c r="J71" s="139"/>
      <c r="K71" s="322"/>
      <c r="L71" s="139"/>
      <c r="M71" s="139"/>
      <c r="N71" s="139"/>
      <c r="O71" s="139"/>
      <c r="P71" s="139"/>
      <c r="Q71" s="139"/>
      <c r="R71" s="139"/>
    </row>
    <row r="72" spans="1:18">
      <c r="A72" s="139"/>
      <c r="B72" s="139"/>
      <c r="C72" s="139"/>
      <c r="D72" s="139"/>
      <c r="E72" s="139"/>
      <c r="F72" s="139"/>
      <c r="G72" s="139"/>
      <c r="H72" s="139"/>
      <c r="I72" s="322"/>
      <c r="J72" s="139"/>
      <c r="K72" s="322"/>
      <c r="L72" s="139"/>
      <c r="M72" s="139"/>
      <c r="N72" s="139"/>
      <c r="O72" s="139"/>
      <c r="P72" s="139"/>
      <c r="Q72" s="139"/>
      <c r="R72" s="139"/>
    </row>
    <row r="73" spans="1:18">
      <c r="A73" s="139"/>
      <c r="B73" s="139"/>
      <c r="C73" s="139"/>
      <c r="D73" s="139"/>
      <c r="E73" s="139"/>
      <c r="F73" s="139"/>
      <c r="G73" s="139"/>
      <c r="H73" s="139"/>
      <c r="I73" s="322"/>
      <c r="J73" s="139"/>
      <c r="K73" s="322"/>
      <c r="L73" s="139"/>
      <c r="M73" s="139"/>
      <c r="N73" s="139"/>
      <c r="O73" s="139"/>
      <c r="P73" s="139"/>
      <c r="Q73" s="139"/>
      <c r="R73" s="139"/>
    </row>
    <row r="74" spans="1:18">
      <c r="A74" s="139"/>
      <c r="B74" s="139"/>
      <c r="C74" s="139"/>
      <c r="D74" s="139"/>
      <c r="E74" s="139"/>
      <c r="F74" s="139"/>
      <c r="G74" s="139"/>
      <c r="H74" s="139"/>
      <c r="I74" s="322"/>
      <c r="J74" s="139"/>
      <c r="K74" s="322"/>
      <c r="L74" s="139"/>
      <c r="M74" s="139"/>
      <c r="N74" s="139"/>
      <c r="O74" s="139"/>
      <c r="P74" s="139"/>
      <c r="Q74" s="139"/>
      <c r="R74" s="139"/>
    </row>
    <row r="75" spans="1:18">
      <c r="A75" s="139"/>
      <c r="B75" s="139"/>
      <c r="C75" s="139"/>
      <c r="D75" s="139"/>
      <c r="E75" s="139"/>
      <c r="F75" s="139"/>
      <c r="G75" s="139"/>
      <c r="H75" s="139"/>
      <c r="I75" s="322"/>
      <c r="J75" s="139"/>
      <c r="K75" s="322"/>
      <c r="L75" s="139"/>
      <c r="M75" s="139"/>
      <c r="N75" s="139"/>
      <c r="O75" s="139"/>
      <c r="P75" s="139"/>
      <c r="Q75" s="139"/>
      <c r="R75" s="139"/>
    </row>
    <row r="76" spans="1:18">
      <c r="A76" s="139"/>
      <c r="B76" s="139"/>
      <c r="C76" s="139"/>
      <c r="D76" s="139"/>
      <c r="E76" s="139"/>
      <c r="F76" s="139"/>
      <c r="G76" s="139"/>
      <c r="H76" s="139"/>
      <c r="I76" s="322"/>
      <c r="J76" s="139"/>
      <c r="K76" s="322"/>
      <c r="L76" s="139"/>
      <c r="M76" s="139"/>
      <c r="N76" s="139"/>
      <c r="O76" s="139"/>
      <c r="P76" s="139"/>
      <c r="Q76" s="139"/>
      <c r="R76" s="139"/>
    </row>
    <row r="77" spans="1:18">
      <c r="A77" s="139"/>
      <c r="B77" s="139"/>
      <c r="C77" s="139"/>
      <c r="D77" s="139"/>
      <c r="E77" s="139"/>
      <c r="F77" s="139"/>
      <c r="G77" s="139"/>
      <c r="H77" s="139"/>
      <c r="I77" s="322"/>
      <c r="J77" s="139"/>
      <c r="K77" s="322"/>
      <c r="L77" s="139"/>
      <c r="M77" s="139"/>
      <c r="N77" s="139"/>
      <c r="O77" s="139"/>
      <c r="P77" s="139"/>
      <c r="Q77" s="139"/>
      <c r="R77" s="139"/>
    </row>
    <row r="78" spans="1:18">
      <c r="A78" s="139"/>
      <c r="B78" s="139"/>
      <c r="C78" s="139"/>
      <c r="D78" s="139"/>
      <c r="E78" s="139"/>
      <c r="F78" s="139"/>
      <c r="G78" s="139"/>
      <c r="H78" s="139"/>
      <c r="I78" s="322"/>
      <c r="J78" s="139"/>
      <c r="K78" s="322"/>
      <c r="L78" s="139"/>
      <c r="M78" s="139"/>
      <c r="N78" s="139"/>
      <c r="O78" s="139"/>
      <c r="P78" s="139"/>
      <c r="Q78" s="139"/>
      <c r="R78" s="139"/>
    </row>
    <row r="79" spans="1:18">
      <c r="A79" s="139"/>
      <c r="B79" s="139"/>
      <c r="C79" s="139"/>
      <c r="D79" s="139"/>
      <c r="E79" s="139"/>
      <c r="F79" s="139"/>
      <c r="G79" s="139"/>
      <c r="H79" s="139"/>
      <c r="I79" s="322"/>
      <c r="J79" s="139"/>
      <c r="K79" s="322"/>
      <c r="L79" s="139"/>
      <c r="M79" s="139"/>
      <c r="N79" s="139"/>
      <c r="O79" s="139"/>
      <c r="P79" s="139"/>
      <c r="Q79" s="139"/>
      <c r="R79" s="139"/>
    </row>
    <row r="80" spans="1:18">
      <c r="A80" s="139"/>
      <c r="B80" s="139"/>
      <c r="C80" s="139"/>
      <c r="D80" s="139"/>
      <c r="E80" s="139"/>
      <c r="F80" s="139"/>
      <c r="G80" s="139"/>
      <c r="H80" s="139"/>
      <c r="I80" s="322"/>
      <c r="J80" s="139"/>
      <c r="K80" s="322"/>
      <c r="L80" s="139"/>
      <c r="M80" s="139"/>
      <c r="N80" s="139"/>
      <c r="O80" s="139"/>
      <c r="P80" s="139"/>
      <c r="Q80" s="139"/>
      <c r="R80" s="139"/>
    </row>
    <row r="81" spans="1:18">
      <c r="A81" s="139"/>
      <c r="B81" s="139"/>
      <c r="C81" s="139"/>
      <c r="D81" s="139"/>
      <c r="E81" s="139"/>
      <c r="F81" s="139"/>
      <c r="G81" s="139"/>
      <c r="H81" s="139"/>
      <c r="I81" s="322"/>
      <c r="J81" s="139"/>
      <c r="K81" s="322"/>
      <c r="L81" s="139"/>
      <c r="M81" s="139"/>
      <c r="N81" s="139"/>
      <c r="O81" s="139"/>
      <c r="P81" s="139"/>
      <c r="Q81" s="139"/>
      <c r="R81" s="139"/>
    </row>
    <row r="82" spans="1:18">
      <c r="A82" s="139"/>
      <c r="B82" s="139"/>
      <c r="C82" s="139"/>
      <c r="D82" s="139"/>
      <c r="E82" s="139"/>
      <c r="F82" s="139"/>
      <c r="G82" s="139"/>
      <c r="H82" s="139"/>
      <c r="I82" s="322"/>
      <c r="J82" s="139"/>
      <c r="K82" s="322"/>
      <c r="L82" s="139"/>
      <c r="M82" s="139"/>
      <c r="N82" s="139"/>
      <c r="O82" s="139"/>
      <c r="P82" s="139"/>
      <c r="Q82" s="139"/>
      <c r="R82" s="139"/>
    </row>
    <row r="83" spans="1:18">
      <c r="A83" s="139"/>
      <c r="B83" s="139"/>
      <c r="C83" s="139"/>
      <c r="D83" s="139"/>
      <c r="E83" s="139"/>
      <c r="F83" s="139"/>
      <c r="G83" s="139"/>
      <c r="H83" s="139"/>
      <c r="I83" s="322"/>
      <c r="J83" s="139"/>
      <c r="K83" s="322"/>
      <c r="L83" s="139"/>
      <c r="M83" s="139"/>
      <c r="N83" s="139"/>
      <c r="O83" s="139"/>
      <c r="P83" s="139"/>
      <c r="Q83" s="139"/>
      <c r="R83" s="139"/>
    </row>
    <row r="84" spans="1:18">
      <c r="A84" s="139"/>
      <c r="B84" s="139"/>
      <c r="C84" s="139"/>
      <c r="D84" s="139"/>
      <c r="E84" s="139"/>
      <c r="F84" s="139"/>
      <c r="G84" s="139"/>
      <c r="H84" s="139"/>
      <c r="I84" s="322"/>
      <c r="J84" s="139"/>
      <c r="K84" s="322"/>
      <c r="L84" s="139"/>
      <c r="M84" s="139"/>
      <c r="N84" s="139"/>
      <c r="O84" s="139"/>
      <c r="P84" s="139"/>
      <c r="Q84" s="139"/>
      <c r="R84" s="139"/>
    </row>
    <row r="85" spans="1:18">
      <c r="A85" s="139"/>
      <c r="B85" s="139"/>
      <c r="C85" s="139"/>
      <c r="D85" s="139"/>
      <c r="E85" s="139"/>
      <c r="F85" s="139"/>
      <c r="G85" s="139"/>
      <c r="H85" s="139"/>
      <c r="I85" s="322"/>
      <c r="J85" s="139"/>
      <c r="K85" s="322"/>
      <c r="L85" s="139"/>
      <c r="M85" s="139"/>
      <c r="N85" s="139"/>
      <c r="O85" s="139"/>
      <c r="P85" s="139"/>
      <c r="Q85" s="139"/>
      <c r="R85" s="139"/>
    </row>
    <row r="86" spans="1:18">
      <c r="A86" s="139"/>
      <c r="B86" s="139"/>
      <c r="C86" s="139"/>
      <c r="D86" s="139"/>
      <c r="E86" s="139"/>
      <c r="F86" s="139"/>
      <c r="G86" s="139"/>
      <c r="H86" s="139"/>
      <c r="I86" s="322"/>
      <c r="J86" s="139"/>
      <c r="K86" s="322"/>
      <c r="L86" s="139"/>
      <c r="M86" s="139"/>
      <c r="N86" s="139"/>
      <c r="O86" s="139"/>
      <c r="P86" s="139"/>
      <c r="Q86" s="139"/>
      <c r="R86" s="139"/>
    </row>
    <row r="87" spans="1:18">
      <c r="A87" s="139"/>
      <c r="B87" s="139"/>
      <c r="C87" s="139"/>
      <c r="D87" s="139"/>
      <c r="E87" s="139"/>
      <c r="F87" s="139"/>
      <c r="G87" s="139"/>
      <c r="H87" s="139"/>
      <c r="I87" s="322"/>
      <c r="J87" s="139"/>
      <c r="K87" s="322"/>
      <c r="L87" s="139"/>
      <c r="M87" s="139"/>
      <c r="N87" s="139"/>
      <c r="O87" s="139"/>
      <c r="P87" s="139"/>
      <c r="Q87" s="139"/>
      <c r="R87" s="139"/>
    </row>
    <row r="88" spans="1:18">
      <c r="A88" s="139"/>
      <c r="B88" s="139"/>
      <c r="C88" s="139"/>
      <c r="D88" s="139"/>
      <c r="E88" s="139"/>
      <c r="F88" s="139"/>
      <c r="G88" s="139"/>
      <c r="H88" s="139"/>
      <c r="I88" s="322"/>
      <c r="J88" s="139"/>
      <c r="K88" s="322"/>
      <c r="L88" s="139"/>
      <c r="M88" s="139"/>
      <c r="N88" s="139"/>
      <c r="O88" s="139"/>
      <c r="P88" s="139"/>
      <c r="Q88" s="139"/>
      <c r="R88" s="139"/>
    </row>
    <row r="89" spans="1:18">
      <c r="A89" s="139"/>
      <c r="B89" s="139"/>
      <c r="C89" s="139"/>
      <c r="D89" s="139"/>
      <c r="E89" s="139"/>
      <c r="F89" s="139"/>
      <c r="G89" s="139"/>
      <c r="H89" s="139"/>
      <c r="I89" s="322"/>
      <c r="J89" s="139"/>
      <c r="K89" s="322"/>
      <c r="L89" s="139"/>
      <c r="M89" s="139"/>
      <c r="N89" s="139"/>
      <c r="O89" s="139"/>
      <c r="P89" s="139"/>
      <c r="Q89" s="139"/>
      <c r="R89" s="139"/>
    </row>
    <row r="90" spans="1:18">
      <c r="A90" s="139"/>
      <c r="B90" s="139"/>
      <c r="C90" s="139"/>
      <c r="D90" s="139"/>
      <c r="E90" s="139"/>
      <c r="F90" s="139"/>
      <c r="G90" s="139"/>
      <c r="H90" s="139"/>
      <c r="I90" s="322"/>
      <c r="J90" s="139"/>
      <c r="K90" s="322"/>
      <c r="L90" s="139"/>
      <c r="M90" s="139"/>
      <c r="N90" s="139"/>
      <c r="O90" s="139"/>
      <c r="P90" s="139"/>
      <c r="Q90" s="139"/>
      <c r="R90" s="139"/>
    </row>
    <row r="91" spans="1:18">
      <c r="A91" s="139"/>
      <c r="B91" s="139"/>
      <c r="C91" s="139"/>
      <c r="D91" s="139"/>
      <c r="E91" s="139"/>
      <c r="F91" s="139"/>
      <c r="G91" s="139"/>
      <c r="H91" s="139"/>
      <c r="I91" s="322"/>
      <c r="J91" s="139"/>
      <c r="K91" s="322"/>
      <c r="L91" s="139"/>
      <c r="M91" s="139"/>
      <c r="N91" s="139"/>
      <c r="O91" s="139"/>
      <c r="P91" s="139"/>
      <c r="Q91" s="139"/>
      <c r="R91" s="139"/>
    </row>
    <row r="92" spans="1:18">
      <c r="A92" s="139"/>
      <c r="B92" s="139"/>
      <c r="C92" s="139"/>
      <c r="D92" s="139"/>
      <c r="E92" s="139"/>
      <c r="F92" s="139"/>
      <c r="G92" s="139"/>
      <c r="H92" s="139"/>
      <c r="I92" s="322"/>
      <c r="J92" s="139"/>
      <c r="K92" s="322"/>
      <c r="L92" s="139"/>
      <c r="M92" s="139"/>
      <c r="N92" s="139"/>
      <c r="O92" s="139"/>
      <c r="P92" s="139"/>
      <c r="Q92" s="139"/>
      <c r="R92" s="139"/>
    </row>
    <row r="93" spans="1:18">
      <c r="A93" s="139"/>
      <c r="B93" s="139"/>
      <c r="C93" s="139"/>
      <c r="D93" s="139"/>
      <c r="E93" s="139"/>
      <c r="F93" s="139"/>
      <c r="G93" s="139"/>
      <c r="H93" s="139"/>
      <c r="I93" s="322"/>
      <c r="J93" s="139"/>
      <c r="K93" s="322"/>
      <c r="L93" s="139"/>
      <c r="M93" s="139"/>
      <c r="N93" s="139"/>
      <c r="O93" s="139"/>
      <c r="P93" s="139"/>
      <c r="Q93" s="139"/>
      <c r="R93" s="139"/>
    </row>
    <row r="94" spans="1:18">
      <c r="A94" s="139"/>
      <c r="B94" s="139"/>
      <c r="C94" s="139"/>
      <c r="D94" s="139"/>
      <c r="E94" s="139"/>
      <c r="F94" s="139"/>
      <c r="G94" s="139"/>
      <c r="H94" s="139"/>
      <c r="I94" s="322"/>
      <c r="J94" s="139"/>
      <c r="K94" s="322"/>
      <c r="L94" s="139"/>
      <c r="M94" s="139"/>
      <c r="N94" s="139"/>
      <c r="O94" s="139"/>
      <c r="P94" s="139"/>
      <c r="Q94" s="139"/>
      <c r="R94" s="139"/>
    </row>
    <row r="95" spans="1:18">
      <c r="A95" s="139"/>
      <c r="B95" s="139"/>
      <c r="C95" s="139"/>
      <c r="D95" s="139"/>
      <c r="E95" s="139"/>
      <c r="F95" s="139"/>
      <c r="G95" s="139"/>
      <c r="H95" s="139"/>
      <c r="I95" s="322"/>
      <c r="J95" s="139"/>
      <c r="K95" s="322"/>
      <c r="L95" s="139"/>
      <c r="M95" s="139"/>
      <c r="N95" s="139"/>
      <c r="O95" s="139"/>
      <c r="P95" s="139"/>
      <c r="Q95" s="139"/>
      <c r="R95" s="139"/>
    </row>
    <row r="96" spans="1:18">
      <c r="A96" s="139"/>
      <c r="B96" s="139"/>
      <c r="C96" s="139"/>
      <c r="D96" s="139"/>
      <c r="E96" s="139"/>
      <c r="F96" s="139"/>
      <c r="G96" s="139"/>
      <c r="H96" s="139"/>
      <c r="I96" s="322"/>
      <c r="J96" s="139"/>
      <c r="K96" s="322"/>
      <c r="L96" s="139"/>
      <c r="M96" s="139"/>
      <c r="N96" s="139"/>
      <c r="O96" s="139"/>
      <c r="P96" s="139"/>
      <c r="Q96" s="139"/>
      <c r="R96" s="139"/>
    </row>
    <row r="97" spans="1:18">
      <c r="A97" s="139"/>
      <c r="B97" s="139"/>
      <c r="C97" s="139"/>
      <c r="D97" s="139"/>
      <c r="E97" s="139"/>
      <c r="F97" s="139"/>
      <c r="G97" s="139"/>
      <c r="H97" s="139"/>
      <c r="I97" s="322"/>
      <c r="J97" s="139"/>
      <c r="K97" s="322"/>
      <c r="L97" s="139"/>
      <c r="M97" s="139"/>
      <c r="N97" s="139"/>
      <c r="O97" s="139"/>
      <c r="P97" s="139"/>
      <c r="Q97" s="139"/>
      <c r="R97" s="139"/>
    </row>
    <row r="98" spans="1:18">
      <c r="A98" s="139"/>
      <c r="B98" s="139"/>
      <c r="C98" s="139"/>
      <c r="D98" s="139"/>
      <c r="E98" s="139"/>
      <c r="F98" s="139"/>
      <c r="G98" s="139"/>
      <c r="H98" s="139"/>
      <c r="I98" s="322"/>
      <c r="J98" s="139"/>
      <c r="K98" s="322"/>
      <c r="L98" s="139"/>
      <c r="M98" s="139"/>
      <c r="N98" s="139"/>
      <c r="O98" s="139"/>
      <c r="P98" s="139"/>
      <c r="Q98" s="139"/>
      <c r="R98" s="139"/>
    </row>
    <row r="99" spans="1:18">
      <c r="A99" s="139"/>
      <c r="B99" s="139"/>
      <c r="C99" s="139"/>
      <c r="D99" s="139"/>
      <c r="E99" s="139"/>
      <c r="F99" s="139"/>
      <c r="G99" s="139"/>
      <c r="H99" s="139"/>
      <c r="I99" s="322"/>
      <c r="J99" s="139"/>
      <c r="K99" s="322"/>
      <c r="L99" s="139"/>
      <c r="M99" s="139"/>
      <c r="N99" s="139"/>
      <c r="O99" s="139"/>
      <c r="P99" s="139"/>
      <c r="Q99" s="139"/>
      <c r="R99" s="139"/>
    </row>
    <row r="100" spans="1:18">
      <c r="A100" s="139"/>
      <c r="B100" s="139"/>
      <c r="C100" s="139"/>
      <c r="D100" s="139"/>
      <c r="E100" s="139"/>
      <c r="F100" s="139"/>
      <c r="G100" s="139"/>
      <c r="H100" s="139"/>
      <c r="I100" s="322"/>
      <c r="J100" s="139"/>
      <c r="K100" s="322"/>
      <c r="L100" s="139"/>
      <c r="M100" s="139"/>
      <c r="N100" s="139"/>
      <c r="O100" s="139"/>
      <c r="P100" s="139"/>
      <c r="Q100" s="139"/>
      <c r="R100" s="139"/>
    </row>
    <row r="101" spans="1:18">
      <c r="A101" s="139"/>
      <c r="B101" s="139"/>
      <c r="C101" s="139"/>
      <c r="D101" s="139"/>
      <c r="E101" s="139"/>
      <c r="F101" s="139"/>
      <c r="G101" s="139"/>
      <c r="H101" s="139"/>
      <c r="I101" s="322"/>
      <c r="J101" s="139"/>
      <c r="K101" s="322"/>
      <c r="L101" s="139"/>
      <c r="M101" s="139"/>
      <c r="N101" s="139"/>
      <c r="O101" s="139"/>
      <c r="P101" s="139"/>
      <c r="Q101" s="139"/>
      <c r="R101" s="139"/>
    </row>
    <row r="102" spans="1:18">
      <c r="A102" s="139"/>
      <c r="B102" s="139"/>
      <c r="C102" s="139"/>
      <c r="D102" s="139"/>
      <c r="E102" s="139"/>
      <c r="F102" s="139"/>
      <c r="G102" s="139"/>
      <c r="H102" s="139"/>
      <c r="I102" s="322"/>
      <c r="J102" s="139"/>
      <c r="K102" s="322"/>
      <c r="L102" s="139"/>
      <c r="M102" s="139"/>
      <c r="N102" s="139"/>
      <c r="O102" s="139"/>
      <c r="P102" s="139"/>
      <c r="Q102" s="139"/>
      <c r="R102" s="139"/>
    </row>
    <row r="103" spans="1:18">
      <c r="A103" s="139"/>
      <c r="B103" s="139"/>
      <c r="C103" s="139"/>
      <c r="D103" s="139"/>
      <c r="E103" s="139"/>
      <c r="F103" s="139"/>
      <c r="G103" s="139"/>
      <c r="H103" s="139"/>
      <c r="I103" s="322"/>
      <c r="J103" s="139"/>
      <c r="K103" s="322"/>
      <c r="L103" s="139"/>
      <c r="M103" s="139"/>
      <c r="N103" s="139"/>
      <c r="O103" s="139"/>
      <c r="P103" s="139"/>
      <c r="Q103" s="139"/>
      <c r="R103" s="139"/>
    </row>
    <row r="104" spans="1:18">
      <c r="A104" s="139"/>
      <c r="B104" s="139"/>
      <c r="C104" s="139"/>
      <c r="D104" s="139"/>
      <c r="E104" s="139"/>
      <c r="F104" s="139"/>
      <c r="G104" s="139"/>
      <c r="H104" s="139"/>
      <c r="I104" s="322"/>
      <c r="J104" s="139"/>
      <c r="K104" s="322"/>
      <c r="L104" s="139"/>
      <c r="M104" s="139"/>
      <c r="N104" s="139"/>
      <c r="O104" s="139"/>
      <c r="P104" s="139"/>
      <c r="Q104" s="139"/>
      <c r="R104" s="139"/>
    </row>
    <row r="105" spans="1:18">
      <c r="A105" s="139"/>
      <c r="B105" s="139"/>
      <c r="C105" s="139"/>
      <c r="D105" s="139"/>
      <c r="E105" s="139"/>
      <c r="F105" s="139"/>
      <c r="G105" s="139"/>
      <c r="H105" s="139"/>
      <c r="I105" s="322"/>
      <c r="J105" s="139"/>
      <c r="K105" s="322"/>
      <c r="L105" s="139"/>
      <c r="M105" s="139"/>
      <c r="N105" s="139"/>
      <c r="O105" s="139"/>
      <c r="P105" s="139"/>
      <c r="Q105" s="139"/>
      <c r="R105" s="139"/>
    </row>
    <row r="106" spans="1:18">
      <c r="A106" s="139"/>
      <c r="B106" s="139"/>
      <c r="C106" s="139"/>
      <c r="D106" s="139"/>
      <c r="E106" s="139"/>
      <c r="F106" s="139"/>
      <c r="G106" s="139"/>
      <c r="H106" s="139"/>
      <c r="I106" s="322"/>
      <c r="J106" s="139"/>
      <c r="K106" s="322"/>
      <c r="L106" s="139"/>
      <c r="M106" s="139"/>
      <c r="N106" s="139"/>
      <c r="O106" s="139"/>
      <c r="P106" s="139"/>
      <c r="Q106" s="139"/>
      <c r="R106" s="139"/>
    </row>
    <row r="107" spans="1:18">
      <c r="A107" s="139"/>
      <c r="B107" s="139"/>
      <c r="C107" s="139"/>
      <c r="D107" s="139"/>
      <c r="E107" s="139"/>
      <c r="F107" s="139"/>
      <c r="G107" s="139"/>
      <c r="H107" s="139"/>
      <c r="I107" s="322"/>
      <c r="J107" s="139"/>
      <c r="K107" s="322"/>
      <c r="L107" s="139"/>
      <c r="M107" s="139"/>
      <c r="N107" s="139"/>
      <c r="O107" s="139"/>
      <c r="P107" s="139"/>
      <c r="Q107" s="139"/>
      <c r="R107" s="139"/>
    </row>
    <row r="108" spans="1:18">
      <c r="A108" s="139"/>
      <c r="B108" s="139"/>
      <c r="C108" s="139"/>
      <c r="D108" s="139"/>
      <c r="E108" s="139"/>
      <c r="F108" s="139"/>
      <c r="G108" s="139"/>
      <c r="H108" s="139"/>
      <c r="I108" s="322"/>
      <c r="J108" s="139"/>
      <c r="K108" s="322"/>
      <c r="L108" s="139"/>
      <c r="M108" s="139"/>
      <c r="N108" s="139"/>
      <c r="O108" s="139"/>
      <c r="P108" s="139"/>
      <c r="Q108" s="139"/>
      <c r="R108" s="139"/>
    </row>
    <row r="109" spans="1:18">
      <c r="A109" s="139"/>
      <c r="B109" s="139"/>
      <c r="C109" s="139"/>
      <c r="D109" s="139"/>
      <c r="E109" s="139"/>
      <c r="F109" s="139"/>
      <c r="G109" s="139"/>
      <c r="H109" s="139"/>
      <c r="I109" s="322"/>
      <c r="J109" s="139"/>
      <c r="K109" s="322"/>
      <c r="L109" s="139"/>
      <c r="M109" s="139"/>
      <c r="N109" s="139"/>
      <c r="O109" s="139"/>
      <c r="P109" s="139"/>
      <c r="Q109" s="139"/>
      <c r="R109" s="139"/>
    </row>
    <row r="110" spans="1:18">
      <c r="A110" s="139"/>
      <c r="B110" s="139"/>
      <c r="C110" s="139"/>
      <c r="D110" s="139"/>
      <c r="E110" s="139"/>
      <c r="F110" s="139"/>
      <c r="G110" s="139"/>
      <c r="H110" s="139"/>
      <c r="I110" s="322"/>
      <c r="J110" s="139"/>
      <c r="K110" s="322"/>
      <c r="L110" s="139"/>
      <c r="M110" s="139"/>
      <c r="N110" s="139"/>
      <c r="O110" s="139"/>
      <c r="P110" s="139"/>
      <c r="Q110" s="139"/>
      <c r="R110" s="139"/>
    </row>
    <row r="111" spans="1:18">
      <c r="A111" s="139"/>
      <c r="B111" s="139"/>
      <c r="C111" s="139"/>
      <c r="D111" s="139"/>
      <c r="E111" s="139"/>
      <c r="F111" s="139"/>
      <c r="G111" s="139"/>
      <c r="H111" s="139"/>
      <c r="I111" s="322"/>
      <c r="J111" s="139"/>
      <c r="K111" s="322"/>
      <c r="L111" s="139"/>
      <c r="M111" s="139"/>
      <c r="N111" s="139"/>
      <c r="O111" s="139"/>
      <c r="P111" s="139"/>
      <c r="Q111" s="139"/>
      <c r="R111" s="139"/>
    </row>
    <row r="112" spans="1:18">
      <c r="A112" s="139"/>
      <c r="B112" s="139"/>
      <c r="C112" s="139"/>
      <c r="D112" s="139"/>
      <c r="E112" s="139"/>
      <c r="F112" s="139"/>
      <c r="G112" s="139"/>
      <c r="H112" s="139"/>
      <c r="I112" s="322"/>
      <c r="J112" s="139"/>
      <c r="K112" s="322"/>
      <c r="L112" s="139"/>
      <c r="M112" s="139"/>
      <c r="N112" s="139"/>
      <c r="O112" s="139"/>
      <c r="P112" s="139"/>
      <c r="Q112" s="139"/>
      <c r="R112" s="139"/>
    </row>
    <row r="113" spans="1:18">
      <c r="A113" s="139"/>
      <c r="B113" s="139"/>
      <c r="C113" s="139"/>
      <c r="D113" s="139"/>
      <c r="E113" s="139"/>
      <c r="F113" s="139"/>
      <c r="G113" s="139"/>
      <c r="H113" s="139"/>
      <c r="I113" s="322"/>
      <c r="J113" s="139"/>
      <c r="K113" s="322"/>
      <c r="L113" s="139"/>
      <c r="M113" s="139"/>
      <c r="N113" s="139"/>
      <c r="O113" s="139"/>
      <c r="P113" s="139"/>
      <c r="Q113" s="139"/>
      <c r="R113" s="139"/>
    </row>
    <row r="114" spans="1:18">
      <c r="A114" s="139"/>
      <c r="B114" s="139"/>
      <c r="C114" s="139"/>
      <c r="D114" s="139"/>
      <c r="E114" s="139"/>
      <c r="F114" s="139"/>
      <c r="G114" s="139"/>
      <c r="H114" s="139"/>
      <c r="I114" s="322"/>
      <c r="J114" s="139"/>
      <c r="K114" s="322"/>
      <c r="L114" s="139"/>
      <c r="M114" s="139"/>
      <c r="N114" s="139"/>
      <c r="O114" s="139"/>
      <c r="P114" s="139"/>
      <c r="Q114" s="139"/>
      <c r="R114" s="139"/>
    </row>
    <row r="115" spans="1:18">
      <c r="A115" s="139"/>
      <c r="B115" s="139"/>
      <c r="C115" s="139"/>
      <c r="D115" s="139"/>
      <c r="E115" s="139"/>
      <c r="F115" s="139"/>
      <c r="G115" s="139"/>
      <c r="H115" s="139"/>
      <c r="I115" s="322"/>
      <c r="J115" s="139"/>
      <c r="K115" s="322"/>
      <c r="L115" s="139"/>
      <c r="M115" s="139"/>
      <c r="N115" s="139"/>
      <c r="O115" s="139"/>
      <c r="P115" s="139"/>
      <c r="Q115" s="139"/>
      <c r="R115" s="139"/>
    </row>
    <row r="116" spans="1:18">
      <c r="A116" s="139"/>
      <c r="B116" s="139"/>
      <c r="C116" s="139"/>
      <c r="D116" s="139"/>
      <c r="E116" s="139"/>
      <c r="F116" s="139"/>
      <c r="G116" s="139"/>
      <c r="H116" s="139"/>
      <c r="I116" s="322"/>
      <c r="J116" s="139"/>
      <c r="K116" s="322"/>
      <c r="L116" s="139"/>
      <c r="M116" s="139"/>
      <c r="N116" s="139"/>
      <c r="O116" s="139"/>
      <c r="P116" s="139"/>
      <c r="Q116" s="139"/>
      <c r="R116" s="139"/>
    </row>
    <row r="117" spans="1:18">
      <c r="A117" s="139"/>
      <c r="B117" s="139"/>
      <c r="C117" s="139"/>
      <c r="D117" s="139"/>
      <c r="E117" s="139"/>
      <c r="F117" s="139"/>
      <c r="G117" s="139"/>
      <c r="H117" s="139"/>
      <c r="I117" s="322"/>
      <c r="J117" s="139"/>
      <c r="K117" s="322"/>
      <c r="L117" s="139"/>
      <c r="M117" s="139"/>
      <c r="N117" s="139"/>
      <c r="O117" s="139"/>
      <c r="P117" s="139"/>
      <c r="Q117" s="139"/>
      <c r="R117" s="139"/>
    </row>
    <row r="118" spans="1:18">
      <c r="A118" s="139"/>
      <c r="B118" s="139"/>
      <c r="C118" s="139"/>
      <c r="D118" s="139"/>
      <c r="E118" s="139"/>
      <c r="F118" s="139"/>
      <c r="G118" s="139"/>
      <c r="H118" s="139"/>
      <c r="I118" s="322"/>
      <c r="J118" s="139"/>
      <c r="K118" s="322"/>
      <c r="L118" s="139"/>
      <c r="M118" s="139"/>
      <c r="N118" s="139"/>
      <c r="O118" s="139"/>
      <c r="P118" s="139"/>
      <c r="Q118" s="139"/>
      <c r="R118" s="139"/>
    </row>
    <row r="119" spans="1:18">
      <c r="A119" s="139"/>
      <c r="B119" s="139"/>
      <c r="C119" s="139"/>
      <c r="D119" s="139"/>
      <c r="E119" s="139"/>
      <c r="F119" s="139"/>
      <c r="G119" s="139"/>
      <c r="H119" s="139"/>
      <c r="I119" s="322"/>
      <c r="J119" s="139"/>
      <c r="K119" s="322"/>
      <c r="L119" s="139"/>
      <c r="M119" s="139"/>
      <c r="N119" s="139"/>
      <c r="O119" s="139"/>
      <c r="P119" s="139"/>
      <c r="Q119" s="139"/>
      <c r="R119" s="139"/>
    </row>
    <row r="120" spans="1:18">
      <c r="A120" s="139"/>
      <c r="B120" s="139"/>
      <c r="C120" s="139"/>
      <c r="D120" s="139"/>
      <c r="E120" s="139"/>
      <c r="F120" s="139"/>
      <c r="G120" s="139"/>
      <c r="H120" s="139"/>
      <c r="I120" s="322"/>
      <c r="J120" s="139"/>
      <c r="K120" s="322"/>
      <c r="L120" s="139"/>
      <c r="M120" s="139"/>
      <c r="N120" s="139"/>
      <c r="O120" s="139"/>
      <c r="P120" s="139"/>
      <c r="Q120" s="139"/>
      <c r="R120" s="139"/>
    </row>
    <row r="121" spans="1:18">
      <c r="A121" s="139"/>
      <c r="B121" s="139"/>
      <c r="C121" s="139"/>
      <c r="D121" s="139"/>
      <c r="E121" s="139"/>
      <c r="F121" s="139"/>
      <c r="G121" s="139"/>
      <c r="H121" s="139"/>
      <c r="I121" s="322"/>
      <c r="J121" s="139"/>
      <c r="K121" s="322"/>
      <c r="L121" s="139"/>
      <c r="M121" s="139"/>
      <c r="N121" s="139"/>
      <c r="O121" s="139"/>
      <c r="P121" s="139"/>
      <c r="Q121" s="139"/>
      <c r="R121" s="139"/>
    </row>
    <row r="122" spans="1:18">
      <c r="A122" s="139"/>
      <c r="B122" s="139"/>
      <c r="C122" s="139"/>
      <c r="D122" s="139"/>
      <c r="E122" s="139"/>
      <c r="F122" s="139"/>
      <c r="G122" s="139"/>
      <c r="H122" s="139"/>
      <c r="I122" s="322"/>
      <c r="J122" s="139"/>
      <c r="K122" s="322"/>
      <c r="L122" s="139"/>
      <c r="M122" s="139"/>
      <c r="N122" s="139"/>
      <c r="O122" s="139"/>
      <c r="P122" s="139"/>
      <c r="Q122" s="139"/>
      <c r="R122" s="139"/>
    </row>
    <row r="123" spans="1:18">
      <c r="A123" s="139"/>
      <c r="B123" s="139"/>
      <c r="C123" s="139"/>
      <c r="D123" s="139"/>
      <c r="E123" s="139"/>
      <c r="F123" s="139"/>
      <c r="G123" s="139"/>
      <c r="H123" s="139"/>
      <c r="I123" s="322"/>
      <c r="J123" s="139"/>
      <c r="K123" s="322"/>
      <c r="L123" s="139"/>
      <c r="M123" s="139"/>
      <c r="N123" s="139"/>
      <c r="O123" s="139"/>
      <c r="P123" s="139"/>
      <c r="Q123" s="139"/>
      <c r="R123" s="139"/>
    </row>
    <row r="124" spans="1:18">
      <c r="A124" s="139"/>
      <c r="B124" s="139"/>
      <c r="C124" s="139"/>
      <c r="D124" s="139"/>
      <c r="E124" s="139"/>
      <c r="F124" s="139"/>
      <c r="G124" s="139"/>
      <c r="H124" s="139"/>
      <c r="I124" s="322"/>
      <c r="J124" s="139"/>
      <c r="K124" s="322"/>
      <c r="L124" s="139"/>
      <c r="M124" s="139"/>
      <c r="N124" s="139"/>
      <c r="O124" s="139"/>
      <c r="P124" s="139"/>
      <c r="Q124" s="139"/>
      <c r="R124" s="139"/>
    </row>
    <row r="125" spans="1:18">
      <c r="A125" s="139"/>
      <c r="B125" s="139"/>
      <c r="C125" s="139"/>
      <c r="D125" s="139"/>
      <c r="E125" s="139"/>
      <c r="F125" s="139"/>
      <c r="G125" s="139"/>
      <c r="H125" s="139"/>
      <c r="I125" s="322"/>
      <c r="J125" s="139"/>
      <c r="K125" s="322"/>
      <c r="L125" s="139"/>
      <c r="M125" s="139"/>
      <c r="N125" s="139"/>
      <c r="O125" s="139"/>
      <c r="P125" s="139"/>
      <c r="Q125" s="139"/>
      <c r="R125" s="139"/>
    </row>
    <row r="126" spans="1:18">
      <c r="A126" s="139"/>
      <c r="B126" s="139"/>
      <c r="C126" s="139"/>
      <c r="D126" s="139"/>
      <c r="E126" s="139"/>
      <c r="F126" s="139"/>
      <c r="G126" s="139"/>
      <c r="H126" s="139"/>
      <c r="I126" s="322"/>
      <c r="J126" s="139"/>
      <c r="K126" s="322"/>
      <c r="L126" s="139"/>
      <c r="M126" s="139"/>
      <c r="N126" s="139"/>
      <c r="O126" s="139"/>
      <c r="P126" s="139"/>
      <c r="Q126" s="139"/>
      <c r="R126" s="139"/>
    </row>
    <row r="127" spans="1:18">
      <c r="A127" s="139"/>
      <c r="B127" s="139"/>
      <c r="C127" s="139"/>
      <c r="D127" s="139"/>
      <c r="E127" s="139"/>
      <c r="F127" s="139"/>
      <c r="G127" s="139"/>
      <c r="H127" s="139"/>
      <c r="I127" s="322"/>
      <c r="J127" s="139"/>
      <c r="K127" s="322"/>
      <c r="L127" s="139"/>
      <c r="M127" s="139"/>
      <c r="N127" s="139"/>
      <c r="O127" s="139"/>
      <c r="P127" s="139"/>
      <c r="Q127" s="139"/>
      <c r="R127" s="139"/>
    </row>
    <row r="128" spans="1:18">
      <c r="A128" s="139"/>
      <c r="B128" s="139"/>
      <c r="C128" s="139"/>
      <c r="D128" s="139"/>
      <c r="E128" s="139"/>
      <c r="F128" s="139"/>
      <c r="G128" s="139"/>
      <c r="H128" s="139"/>
      <c r="I128" s="322"/>
      <c r="J128" s="139"/>
      <c r="K128" s="322"/>
      <c r="L128" s="139"/>
      <c r="M128" s="139"/>
      <c r="N128" s="139"/>
      <c r="O128" s="139"/>
      <c r="P128" s="139"/>
      <c r="Q128" s="139"/>
      <c r="R128" s="139"/>
    </row>
    <row r="129" spans="1:18">
      <c r="A129" s="139"/>
      <c r="B129" s="139"/>
      <c r="C129" s="139"/>
      <c r="D129" s="139"/>
      <c r="E129" s="139"/>
      <c r="F129" s="139"/>
      <c r="G129" s="139"/>
      <c r="H129" s="139"/>
      <c r="I129" s="322"/>
      <c r="J129" s="139"/>
      <c r="K129" s="322"/>
      <c r="L129" s="139"/>
      <c r="M129" s="139"/>
      <c r="N129" s="139"/>
      <c r="O129" s="139"/>
      <c r="P129" s="139"/>
      <c r="Q129" s="139"/>
      <c r="R129" s="139"/>
    </row>
    <row r="130" spans="1:18">
      <c r="A130" s="139"/>
      <c r="B130" s="139"/>
      <c r="C130" s="139"/>
      <c r="D130" s="139"/>
      <c r="E130" s="139"/>
      <c r="F130" s="139"/>
      <c r="G130" s="139"/>
      <c r="H130" s="139"/>
      <c r="I130" s="322"/>
      <c r="J130" s="139"/>
      <c r="K130" s="322"/>
      <c r="L130" s="139"/>
      <c r="M130" s="139"/>
      <c r="N130" s="139"/>
      <c r="O130" s="139"/>
      <c r="P130" s="139"/>
      <c r="Q130" s="139"/>
      <c r="R130" s="139"/>
    </row>
    <row r="131" spans="1:18">
      <c r="A131" s="139"/>
      <c r="B131" s="139"/>
      <c r="C131" s="139"/>
      <c r="D131" s="139"/>
      <c r="E131" s="139"/>
      <c r="F131" s="139"/>
      <c r="G131" s="139"/>
      <c r="H131" s="139"/>
      <c r="I131" s="322"/>
      <c r="J131" s="139"/>
      <c r="K131" s="322"/>
      <c r="L131" s="139"/>
      <c r="M131" s="139"/>
      <c r="N131" s="139"/>
      <c r="O131" s="139"/>
      <c r="P131" s="139"/>
      <c r="Q131" s="139"/>
      <c r="R131" s="139"/>
    </row>
    <row r="132" spans="1:18">
      <c r="A132" s="139"/>
      <c r="B132" s="139"/>
      <c r="C132" s="139"/>
      <c r="D132" s="139"/>
      <c r="E132" s="139"/>
      <c r="F132" s="139"/>
      <c r="G132" s="139"/>
      <c r="H132" s="139"/>
      <c r="I132" s="322"/>
      <c r="J132" s="139"/>
      <c r="K132" s="322"/>
      <c r="L132" s="139"/>
      <c r="M132" s="139"/>
      <c r="N132" s="139"/>
      <c r="O132" s="139"/>
      <c r="P132" s="139"/>
      <c r="Q132" s="139"/>
      <c r="R132" s="139"/>
    </row>
    <row r="133" spans="1:18">
      <c r="A133" s="139"/>
      <c r="B133" s="139"/>
      <c r="C133" s="139"/>
      <c r="D133" s="139"/>
      <c r="E133" s="139"/>
      <c r="F133" s="139"/>
      <c r="G133" s="139"/>
      <c r="H133" s="139"/>
      <c r="I133" s="322"/>
      <c r="J133" s="139"/>
      <c r="K133" s="322"/>
      <c r="L133" s="139"/>
      <c r="M133" s="139"/>
      <c r="N133" s="139"/>
      <c r="O133" s="139"/>
      <c r="P133" s="139"/>
      <c r="Q133" s="139"/>
      <c r="R133" s="139"/>
    </row>
    <row r="134" spans="1:18">
      <c r="A134" s="139"/>
      <c r="B134" s="139"/>
      <c r="C134" s="139"/>
      <c r="D134" s="139"/>
      <c r="E134" s="139"/>
      <c r="F134" s="139"/>
      <c r="G134" s="139"/>
      <c r="H134" s="139"/>
      <c r="I134" s="322"/>
      <c r="J134" s="139"/>
      <c r="K134" s="322"/>
      <c r="L134" s="139"/>
      <c r="M134" s="139"/>
      <c r="N134" s="139"/>
      <c r="O134" s="139"/>
      <c r="P134" s="139"/>
      <c r="Q134" s="139"/>
      <c r="R134" s="139"/>
    </row>
    <row r="135" spans="1:18">
      <c r="A135" s="139"/>
      <c r="B135" s="139"/>
      <c r="C135" s="139"/>
      <c r="D135" s="139"/>
      <c r="E135" s="139"/>
      <c r="F135" s="139"/>
      <c r="G135" s="139"/>
      <c r="H135" s="139"/>
      <c r="I135" s="322"/>
      <c r="J135" s="139"/>
      <c r="K135" s="322"/>
      <c r="L135" s="139"/>
      <c r="M135" s="139"/>
      <c r="N135" s="139"/>
      <c r="O135" s="139"/>
      <c r="P135" s="139"/>
      <c r="Q135" s="139"/>
      <c r="R135" s="139"/>
    </row>
    <row r="136" spans="1:18">
      <c r="A136" s="139"/>
      <c r="B136" s="139"/>
      <c r="C136" s="139"/>
      <c r="D136" s="139"/>
      <c r="E136" s="139"/>
      <c r="F136" s="139"/>
      <c r="G136" s="139"/>
      <c r="H136" s="139"/>
      <c r="I136" s="322"/>
      <c r="J136" s="139"/>
      <c r="K136" s="322"/>
      <c r="L136" s="139"/>
      <c r="M136" s="139"/>
      <c r="N136" s="139"/>
      <c r="O136" s="139"/>
      <c r="P136" s="139"/>
      <c r="Q136" s="139"/>
      <c r="R136" s="139"/>
    </row>
    <row r="137" spans="1:18">
      <c r="A137" s="139"/>
      <c r="B137" s="139"/>
      <c r="C137" s="139"/>
      <c r="D137" s="139"/>
      <c r="E137" s="139"/>
      <c r="F137" s="139"/>
      <c r="G137" s="139"/>
      <c r="H137" s="139"/>
      <c r="I137" s="322"/>
      <c r="J137" s="139"/>
      <c r="K137" s="322"/>
      <c r="L137" s="139"/>
      <c r="M137" s="139"/>
      <c r="N137" s="139"/>
      <c r="O137" s="139"/>
      <c r="P137" s="139"/>
      <c r="Q137" s="139"/>
      <c r="R137" s="139"/>
    </row>
    <row r="138" spans="1:18">
      <c r="A138" s="139"/>
      <c r="B138" s="139"/>
      <c r="C138" s="139"/>
      <c r="D138" s="139"/>
      <c r="E138" s="139"/>
      <c r="F138" s="139"/>
      <c r="G138" s="139"/>
      <c r="H138" s="139"/>
      <c r="I138" s="322"/>
      <c r="J138" s="139"/>
      <c r="K138" s="322"/>
      <c r="L138" s="139"/>
      <c r="M138" s="139"/>
      <c r="N138" s="139"/>
      <c r="O138" s="139"/>
      <c r="P138" s="139"/>
      <c r="Q138" s="139"/>
      <c r="R138" s="139"/>
    </row>
    <row r="139" spans="1:18">
      <c r="A139" s="139"/>
      <c r="B139" s="139"/>
      <c r="C139" s="139"/>
      <c r="D139" s="139"/>
      <c r="E139" s="139"/>
      <c r="F139" s="139"/>
      <c r="G139" s="139"/>
      <c r="H139" s="139"/>
      <c r="I139" s="322"/>
      <c r="J139" s="139"/>
      <c r="K139" s="322"/>
      <c r="L139" s="139"/>
      <c r="M139" s="139"/>
      <c r="N139" s="139"/>
      <c r="O139" s="139"/>
      <c r="P139" s="139"/>
      <c r="Q139" s="139"/>
      <c r="R139" s="139"/>
    </row>
    <row r="140" spans="1:18">
      <c r="A140" s="139"/>
      <c r="B140" s="139"/>
      <c r="C140" s="139"/>
      <c r="D140" s="139"/>
      <c r="E140" s="139"/>
      <c r="F140" s="139"/>
      <c r="G140" s="139"/>
      <c r="H140" s="139"/>
      <c r="I140" s="322"/>
      <c r="J140" s="139"/>
      <c r="K140" s="322"/>
      <c r="L140" s="139"/>
      <c r="M140" s="139"/>
      <c r="N140" s="139"/>
      <c r="O140" s="139"/>
      <c r="P140" s="139"/>
      <c r="Q140" s="139"/>
      <c r="R140" s="139"/>
    </row>
    <row r="141" spans="1:18">
      <c r="A141" s="139"/>
      <c r="B141" s="139"/>
      <c r="C141" s="139"/>
      <c r="D141" s="139"/>
      <c r="E141" s="139"/>
      <c r="F141" s="139"/>
      <c r="G141" s="139"/>
      <c r="H141" s="139"/>
      <c r="I141" s="322"/>
      <c r="J141" s="139"/>
      <c r="K141" s="322"/>
      <c r="L141" s="139"/>
      <c r="M141" s="139"/>
      <c r="N141" s="139"/>
      <c r="O141" s="139"/>
      <c r="P141" s="139"/>
      <c r="Q141" s="139"/>
      <c r="R141" s="139"/>
    </row>
    <row r="142" spans="1:18">
      <c r="A142" s="139"/>
      <c r="B142" s="139"/>
      <c r="C142" s="139"/>
      <c r="D142" s="139"/>
      <c r="E142" s="139"/>
      <c r="F142" s="139"/>
      <c r="G142" s="139"/>
      <c r="H142" s="139"/>
      <c r="I142" s="322"/>
      <c r="J142" s="139"/>
      <c r="K142" s="322"/>
      <c r="L142" s="139"/>
      <c r="M142" s="139"/>
      <c r="N142" s="139"/>
      <c r="O142" s="139"/>
      <c r="P142" s="139"/>
      <c r="Q142" s="139"/>
      <c r="R142" s="139"/>
    </row>
    <row r="143" spans="1:18">
      <c r="A143" s="139"/>
      <c r="B143" s="139"/>
      <c r="C143" s="139"/>
      <c r="D143" s="139"/>
      <c r="E143" s="139"/>
      <c r="F143" s="139"/>
      <c r="G143" s="139"/>
      <c r="H143" s="139"/>
      <c r="I143" s="322"/>
      <c r="J143" s="139"/>
      <c r="K143" s="322"/>
      <c r="L143" s="139"/>
      <c r="M143" s="139"/>
      <c r="N143" s="139"/>
      <c r="O143" s="139"/>
      <c r="P143" s="139"/>
      <c r="Q143" s="139"/>
      <c r="R143" s="139"/>
    </row>
    <row r="144" spans="1:18">
      <c r="A144" s="139"/>
      <c r="B144" s="139"/>
      <c r="C144" s="139"/>
      <c r="D144" s="139"/>
      <c r="E144" s="139"/>
      <c r="F144" s="139"/>
      <c r="G144" s="139"/>
      <c r="H144" s="139"/>
      <c r="I144" s="322"/>
      <c r="J144" s="139"/>
      <c r="K144" s="322"/>
      <c r="L144" s="139"/>
      <c r="M144" s="139"/>
      <c r="N144" s="139"/>
      <c r="O144" s="139"/>
      <c r="P144" s="139"/>
      <c r="Q144" s="139"/>
      <c r="R144" s="139"/>
    </row>
    <row r="145" spans="1:18">
      <c r="A145" s="139"/>
      <c r="B145" s="139"/>
      <c r="C145" s="139"/>
      <c r="D145" s="139"/>
      <c r="E145" s="139"/>
      <c r="F145" s="139"/>
      <c r="G145" s="139"/>
      <c r="H145" s="139"/>
      <c r="I145" s="322"/>
      <c r="J145" s="139"/>
      <c r="K145" s="322"/>
      <c r="L145" s="139"/>
      <c r="M145" s="139"/>
      <c r="N145" s="139"/>
      <c r="O145" s="139"/>
      <c r="P145" s="139"/>
      <c r="Q145" s="139"/>
      <c r="R145" s="139"/>
    </row>
    <row r="146" spans="1:18">
      <c r="A146" s="139"/>
      <c r="B146" s="139"/>
      <c r="C146" s="139"/>
      <c r="D146" s="139"/>
      <c r="E146" s="139"/>
      <c r="F146" s="139"/>
      <c r="G146" s="139"/>
      <c r="H146" s="139"/>
      <c r="I146" s="322"/>
      <c r="J146" s="139"/>
      <c r="K146" s="322"/>
      <c r="L146" s="139"/>
      <c r="M146" s="139"/>
      <c r="N146" s="139"/>
      <c r="O146" s="139"/>
      <c r="P146" s="139"/>
      <c r="Q146" s="139"/>
      <c r="R146" s="139"/>
    </row>
    <row r="147" spans="1:18">
      <c r="A147" s="139"/>
      <c r="B147" s="139"/>
      <c r="C147" s="139"/>
      <c r="D147" s="139"/>
      <c r="E147" s="139"/>
      <c r="F147" s="139"/>
      <c r="G147" s="139"/>
      <c r="H147" s="139"/>
      <c r="I147" s="322"/>
      <c r="J147" s="139"/>
      <c r="K147" s="322"/>
      <c r="L147" s="139"/>
      <c r="M147" s="139"/>
      <c r="N147" s="139"/>
      <c r="O147" s="139"/>
      <c r="P147" s="139"/>
      <c r="Q147" s="139"/>
      <c r="R147" s="139"/>
    </row>
    <row r="148" spans="1:18">
      <c r="A148" s="139"/>
      <c r="B148" s="139"/>
      <c r="C148" s="139"/>
      <c r="D148" s="139"/>
      <c r="E148" s="139"/>
      <c r="F148" s="139"/>
      <c r="G148" s="139"/>
      <c r="H148" s="139"/>
      <c r="I148" s="322"/>
      <c r="J148" s="139"/>
      <c r="K148" s="322"/>
      <c r="L148" s="139"/>
      <c r="M148" s="139"/>
      <c r="N148" s="139"/>
      <c r="O148" s="139"/>
      <c r="P148" s="139"/>
      <c r="Q148" s="139"/>
      <c r="R148" s="139"/>
    </row>
    <row r="149" spans="1:18">
      <c r="A149" s="139"/>
      <c r="B149" s="139"/>
      <c r="C149" s="139"/>
      <c r="D149" s="139"/>
      <c r="E149" s="139"/>
      <c r="F149" s="139"/>
      <c r="G149" s="139"/>
      <c r="H149" s="139"/>
      <c r="I149" s="322"/>
      <c r="J149" s="139"/>
      <c r="K149" s="322"/>
      <c r="L149" s="139"/>
      <c r="M149" s="139"/>
      <c r="N149" s="139"/>
      <c r="O149" s="139"/>
      <c r="P149" s="139"/>
      <c r="Q149" s="139"/>
      <c r="R149" s="139"/>
    </row>
    <row r="150" spans="1:18">
      <c r="A150" s="139"/>
      <c r="B150" s="139"/>
      <c r="C150" s="139"/>
      <c r="D150" s="139"/>
      <c r="E150" s="139"/>
      <c r="F150" s="139"/>
      <c r="G150" s="139"/>
      <c r="H150" s="139"/>
      <c r="I150" s="322"/>
      <c r="J150" s="139"/>
      <c r="K150" s="322"/>
      <c r="L150" s="139"/>
      <c r="M150" s="139"/>
      <c r="N150" s="139"/>
      <c r="O150" s="139"/>
      <c r="P150" s="139"/>
      <c r="Q150" s="139"/>
      <c r="R150" s="139"/>
    </row>
    <row r="151" spans="1:18">
      <c r="A151" s="139"/>
      <c r="B151" s="139"/>
      <c r="C151" s="139"/>
      <c r="D151" s="139"/>
      <c r="E151" s="139"/>
      <c r="F151" s="139"/>
      <c r="G151" s="139"/>
      <c r="H151" s="139"/>
      <c r="I151" s="322"/>
      <c r="J151" s="139"/>
      <c r="K151" s="322"/>
      <c r="L151" s="139"/>
      <c r="M151" s="139"/>
      <c r="N151" s="139"/>
      <c r="O151" s="139"/>
      <c r="P151" s="139"/>
      <c r="Q151" s="139"/>
      <c r="R151" s="139"/>
    </row>
    <row r="152" spans="1:18">
      <c r="A152" s="139"/>
      <c r="B152" s="139"/>
      <c r="C152" s="139"/>
      <c r="D152" s="139"/>
      <c r="E152" s="139"/>
      <c r="F152" s="139"/>
      <c r="G152" s="139"/>
      <c r="H152" s="139"/>
      <c r="I152" s="322"/>
      <c r="J152" s="139"/>
      <c r="K152" s="322"/>
      <c r="L152" s="139"/>
      <c r="M152" s="139"/>
      <c r="N152" s="139"/>
      <c r="O152" s="139"/>
      <c r="P152" s="139"/>
      <c r="Q152" s="139"/>
      <c r="R152" s="139"/>
    </row>
    <row r="153" spans="1:18">
      <c r="A153" s="139"/>
      <c r="B153" s="139"/>
      <c r="C153" s="139"/>
      <c r="D153" s="139"/>
      <c r="E153" s="139"/>
      <c r="F153" s="139"/>
      <c r="G153" s="139"/>
      <c r="H153" s="139"/>
      <c r="I153" s="322"/>
      <c r="J153" s="139"/>
      <c r="K153" s="322"/>
      <c r="L153" s="139"/>
      <c r="M153" s="139"/>
      <c r="N153" s="139"/>
      <c r="O153" s="139"/>
      <c r="P153" s="139"/>
      <c r="Q153" s="139"/>
      <c r="R153" s="139"/>
    </row>
    <row r="154" spans="1:18">
      <c r="A154" s="139"/>
      <c r="B154" s="139"/>
      <c r="C154" s="139"/>
      <c r="D154" s="139"/>
      <c r="E154" s="139"/>
      <c r="F154" s="139"/>
      <c r="G154" s="139"/>
      <c r="H154" s="139"/>
      <c r="I154" s="322"/>
      <c r="J154" s="139"/>
      <c r="K154" s="322"/>
      <c r="L154" s="139"/>
      <c r="M154" s="139"/>
      <c r="N154" s="139"/>
      <c r="O154" s="139"/>
      <c r="P154" s="139"/>
      <c r="Q154" s="139"/>
      <c r="R154" s="139"/>
    </row>
    <row r="155" spans="1:18">
      <c r="A155" s="139"/>
      <c r="B155" s="139"/>
      <c r="C155" s="139"/>
      <c r="D155" s="139"/>
      <c r="E155" s="139"/>
      <c r="F155" s="139"/>
      <c r="G155" s="139"/>
      <c r="H155" s="139"/>
      <c r="I155" s="322"/>
      <c r="J155" s="139"/>
      <c r="K155" s="322"/>
      <c r="L155" s="139"/>
      <c r="M155" s="139"/>
      <c r="N155" s="139"/>
      <c r="O155" s="139"/>
      <c r="P155" s="139"/>
      <c r="Q155" s="139"/>
      <c r="R155" s="139"/>
    </row>
    <row r="156" spans="1:18">
      <c r="A156" s="139"/>
      <c r="B156" s="139"/>
      <c r="C156" s="139"/>
      <c r="D156" s="139"/>
      <c r="E156" s="139"/>
      <c r="F156" s="139"/>
      <c r="G156" s="139"/>
      <c r="H156" s="139"/>
      <c r="I156" s="322"/>
      <c r="J156" s="139"/>
      <c r="K156" s="322"/>
      <c r="L156" s="139"/>
      <c r="M156" s="139"/>
      <c r="N156" s="139"/>
      <c r="O156" s="139"/>
      <c r="P156" s="139"/>
      <c r="Q156" s="139"/>
      <c r="R156" s="139"/>
    </row>
    <row r="157" spans="1:18">
      <c r="A157" s="139"/>
      <c r="B157" s="139"/>
      <c r="C157" s="139"/>
      <c r="D157" s="139"/>
      <c r="E157" s="139"/>
      <c r="F157" s="139"/>
      <c r="G157" s="139"/>
      <c r="H157" s="139"/>
      <c r="I157" s="322"/>
      <c r="J157" s="139"/>
      <c r="K157" s="322"/>
      <c r="L157" s="139"/>
      <c r="M157" s="139"/>
      <c r="N157" s="139"/>
      <c r="O157" s="139"/>
      <c r="P157" s="139"/>
      <c r="Q157" s="139"/>
      <c r="R157" s="139"/>
    </row>
    <row r="158" spans="1:18">
      <c r="A158" s="139"/>
      <c r="B158" s="139"/>
      <c r="C158" s="139"/>
      <c r="D158" s="139"/>
      <c r="E158" s="139"/>
      <c r="F158" s="139"/>
      <c r="G158" s="139"/>
      <c r="H158" s="139"/>
      <c r="I158" s="322"/>
      <c r="J158" s="139"/>
      <c r="K158" s="322"/>
      <c r="L158" s="139"/>
      <c r="M158" s="139"/>
      <c r="N158" s="139"/>
      <c r="O158" s="139"/>
      <c r="P158" s="139"/>
      <c r="Q158" s="139"/>
      <c r="R158" s="139"/>
    </row>
    <row r="159" spans="1:18">
      <c r="A159" s="139"/>
      <c r="B159" s="139"/>
      <c r="C159" s="139"/>
      <c r="D159" s="139"/>
      <c r="E159" s="139"/>
      <c r="F159" s="139"/>
      <c r="G159" s="139"/>
      <c r="H159" s="139"/>
      <c r="I159" s="322"/>
      <c r="J159" s="139"/>
      <c r="K159" s="322"/>
      <c r="L159" s="139"/>
      <c r="M159" s="139"/>
      <c r="N159" s="139"/>
      <c r="O159" s="139"/>
      <c r="P159" s="139"/>
      <c r="Q159" s="139"/>
      <c r="R159" s="139"/>
    </row>
    <row r="160" spans="1:18">
      <c r="A160" s="139"/>
      <c r="B160" s="139"/>
      <c r="C160" s="139"/>
      <c r="D160" s="139"/>
      <c r="E160" s="139"/>
      <c r="F160" s="139"/>
      <c r="G160" s="139"/>
      <c r="H160" s="139"/>
      <c r="I160" s="322"/>
      <c r="J160" s="139"/>
      <c r="K160" s="322"/>
      <c r="L160" s="139"/>
      <c r="M160" s="139"/>
      <c r="N160" s="139"/>
      <c r="O160" s="139"/>
      <c r="P160" s="139"/>
      <c r="Q160" s="139"/>
      <c r="R160" s="139"/>
    </row>
    <row r="161" spans="1:18">
      <c r="A161" s="139"/>
      <c r="B161" s="139"/>
      <c r="C161" s="139"/>
      <c r="D161" s="139"/>
      <c r="E161" s="139"/>
      <c r="F161" s="139"/>
      <c r="G161" s="139"/>
      <c r="H161" s="139"/>
      <c r="I161" s="322"/>
      <c r="J161" s="139"/>
      <c r="K161" s="322"/>
      <c r="L161" s="139"/>
      <c r="M161" s="139"/>
      <c r="N161" s="139"/>
      <c r="O161" s="139"/>
      <c r="P161" s="139"/>
      <c r="Q161" s="139"/>
      <c r="R161" s="139"/>
    </row>
    <row r="162" spans="1:18">
      <c r="A162" s="139"/>
      <c r="B162" s="139"/>
      <c r="C162" s="139"/>
      <c r="D162" s="139"/>
      <c r="E162" s="139"/>
      <c r="F162" s="139"/>
      <c r="G162" s="139"/>
      <c r="H162" s="139"/>
      <c r="I162" s="322"/>
      <c r="J162" s="139"/>
      <c r="K162" s="322"/>
      <c r="L162" s="139"/>
      <c r="M162" s="139"/>
      <c r="N162" s="139"/>
      <c r="O162" s="139"/>
      <c r="P162" s="139"/>
      <c r="Q162" s="139"/>
      <c r="R162" s="139"/>
    </row>
    <row r="163" spans="1:18">
      <c r="A163" s="139"/>
      <c r="B163" s="139"/>
      <c r="C163" s="139"/>
      <c r="D163" s="139"/>
      <c r="E163" s="139"/>
      <c r="F163" s="139"/>
      <c r="G163" s="139"/>
      <c r="H163" s="139"/>
      <c r="I163" s="322"/>
      <c r="J163" s="139"/>
      <c r="K163" s="322"/>
      <c r="L163" s="139"/>
      <c r="M163" s="139"/>
      <c r="N163" s="139"/>
      <c r="O163" s="139"/>
      <c r="P163" s="139"/>
      <c r="Q163" s="139"/>
      <c r="R163" s="139"/>
    </row>
    <row r="164" spans="1:18">
      <c r="A164" s="139"/>
      <c r="B164" s="139"/>
      <c r="C164" s="139"/>
      <c r="D164" s="139"/>
      <c r="E164" s="139"/>
      <c r="F164" s="139"/>
      <c r="G164" s="139"/>
      <c r="H164" s="139"/>
      <c r="I164" s="322"/>
      <c r="J164" s="139"/>
      <c r="K164" s="322"/>
      <c r="L164" s="139"/>
      <c r="M164" s="139"/>
      <c r="N164" s="139"/>
      <c r="O164" s="139"/>
      <c r="P164" s="139"/>
      <c r="Q164" s="139"/>
      <c r="R164" s="139"/>
    </row>
    <row r="165" spans="1:18">
      <c r="A165" s="139"/>
      <c r="B165" s="139"/>
      <c r="C165" s="139"/>
      <c r="D165" s="139"/>
      <c r="E165" s="139"/>
      <c r="F165" s="139"/>
      <c r="G165" s="139"/>
      <c r="H165" s="139"/>
      <c r="I165" s="322"/>
      <c r="J165" s="139"/>
      <c r="K165" s="322"/>
      <c r="L165" s="139"/>
      <c r="M165" s="139"/>
      <c r="N165" s="139"/>
      <c r="O165" s="139"/>
      <c r="P165" s="139"/>
      <c r="Q165" s="139"/>
      <c r="R165" s="139"/>
    </row>
    <row r="166" spans="1:18">
      <c r="A166" s="139"/>
      <c r="B166" s="139"/>
      <c r="C166" s="139"/>
      <c r="D166" s="139"/>
      <c r="E166" s="139"/>
      <c r="F166" s="139"/>
      <c r="G166" s="139"/>
      <c r="H166" s="139"/>
      <c r="I166" s="322"/>
      <c r="J166" s="139"/>
      <c r="K166" s="322"/>
      <c r="L166" s="139"/>
      <c r="M166" s="139"/>
      <c r="N166" s="139"/>
      <c r="O166" s="139"/>
      <c r="P166" s="139"/>
      <c r="Q166" s="139"/>
      <c r="R166" s="139"/>
    </row>
    <row r="167" spans="1:18">
      <c r="A167" s="139"/>
      <c r="B167" s="139"/>
      <c r="C167" s="139"/>
      <c r="D167" s="139"/>
      <c r="E167" s="139"/>
      <c r="F167" s="139"/>
      <c r="G167" s="139"/>
      <c r="H167" s="139"/>
      <c r="I167" s="322"/>
      <c r="J167" s="139"/>
      <c r="K167" s="322"/>
      <c r="L167" s="139"/>
      <c r="M167" s="139"/>
      <c r="N167" s="139"/>
      <c r="O167" s="139"/>
      <c r="P167" s="139"/>
      <c r="Q167" s="139"/>
      <c r="R167" s="139"/>
    </row>
    <row r="168" spans="1:18">
      <c r="A168" s="139"/>
      <c r="B168" s="139"/>
      <c r="C168" s="139"/>
      <c r="D168" s="139"/>
      <c r="E168" s="139"/>
      <c r="F168" s="139"/>
      <c r="G168" s="139"/>
      <c r="H168" s="139"/>
      <c r="I168" s="322"/>
      <c r="J168" s="139"/>
      <c r="K168" s="322"/>
      <c r="L168" s="139"/>
      <c r="M168" s="139"/>
      <c r="N168" s="139"/>
      <c r="O168" s="139"/>
      <c r="P168" s="139"/>
      <c r="Q168" s="139"/>
      <c r="R168" s="139"/>
    </row>
    <row r="169" spans="1:18">
      <c r="A169" s="139"/>
      <c r="B169" s="139"/>
      <c r="C169" s="139"/>
      <c r="D169" s="139"/>
      <c r="E169" s="139"/>
      <c r="F169" s="139"/>
      <c r="G169" s="139"/>
      <c r="H169" s="139"/>
      <c r="I169" s="322"/>
      <c r="J169" s="139"/>
      <c r="K169" s="322"/>
      <c r="L169" s="139"/>
      <c r="M169" s="139"/>
      <c r="N169" s="139"/>
      <c r="O169" s="139"/>
      <c r="P169" s="139"/>
      <c r="Q169" s="139"/>
      <c r="R169" s="139"/>
    </row>
    <row r="170" spans="1:18">
      <c r="A170" s="139"/>
      <c r="B170" s="139"/>
      <c r="C170" s="139"/>
      <c r="D170" s="139"/>
      <c r="E170" s="139"/>
      <c r="F170" s="139"/>
      <c r="G170" s="139"/>
      <c r="H170" s="139"/>
      <c r="I170" s="322"/>
      <c r="J170" s="139"/>
      <c r="K170" s="322"/>
      <c r="L170" s="139"/>
      <c r="M170" s="139"/>
      <c r="N170" s="139"/>
      <c r="O170" s="139"/>
      <c r="P170" s="139"/>
      <c r="Q170" s="139"/>
      <c r="R170" s="139"/>
    </row>
    <row r="171" spans="1:18">
      <c r="A171" s="139"/>
      <c r="B171" s="139"/>
      <c r="C171" s="139"/>
      <c r="D171" s="139"/>
      <c r="E171" s="139"/>
      <c r="F171" s="139"/>
      <c r="G171" s="139"/>
      <c r="H171" s="139"/>
      <c r="I171" s="322"/>
      <c r="J171" s="139"/>
      <c r="K171" s="322"/>
      <c r="L171" s="139"/>
      <c r="M171" s="139"/>
      <c r="N171" s="139"/>
      <c r="O171" s="139"/>
      <c r="P171" s="139"/>
      <c r="Q171" s="139"/>
      <c r="R171" s="139"/>
    </row>
    <row r="172" spans="1:18">
      <c r="A172" s="139"/>
      <c r="B172" s="139"/>
      <c r="C172" s="139"/>
      <c r="D172" s="139"/>
      <c r="E172" s="139"/>
      <c r="F172" s="139"/>
      <c r="G172" s="139"/>
      <c r="H172" s="139"/>
      <c r="I172" s="322"/>
      <c r="J172" s="139"/>
      <c r="K172" s="322"/>
      <c r="L172" s="139"/>
      <c r="M172" s="139"/>
      <c r="N172" s="139"/>
      <c r="O172" s="139"/>
      <c r="P172" s="139"/>
      <c r="Q172" s="139"/>
      <c r="R172" s="139"/>
    </row>
    <row r="173" spans="1:18">
      <c r="A173" s="139"/>
      <c r="B173" s="139"/>
      <c r="C173" s="139"/>
      <c r="D173" s="139"/>
      <c r="E173" s="139"/>
      <c r="F173" s="139"/>
      <c r="G173" s="139"/>
      <c r="H173" s="139"/>
      <c r="I173" s="322"/>
      <c r="J173" s="139"/>
      <c r="K173" s="322"/>
      <c r="L173" s="139"/>
      <c r="M173" s="139"/>
      <c r="N173" s="139"/>
      <c r="O173" s="139"/>
      <c r="P173" s="139"/>
      <c r="Q173" s="139"/>
      <c r="R173" s="139"/>
    </row>
    <row r="174" spans="1:18">
      <c r="A174" s="139"/>
      <c r="B174" s="139"/>
      <c r="C174" s="139"/>
      <c r="D174" s="139"/>
      <c r="E174" s="139"/>
      <c r="F174" s="139"/>
      <c r="G174" s="139"/>
      <c r="H174" s="139"/>
      <c r="I174" s="322"/>
      <c r="J174" s="139"/>
      <c r="K174" s="322"/>
      <c r="L174" s="139"/>
      <c r="M174" s="139"/>
      <c r="N174" s="139"/>
      <c r="O174" s="139"/>
      <c r="P174" s="139"/>
      <c r="Q174" s="139"/>
      <c r="R174" s="139"/>
    </row>
    <row r="175" spans="1:18">
      <c r="A175" s="139"/>
      <c r="B175" s="139"/>
      <c r="C175" s="139"/>
      <c r="D175" s="139"/>
      <c r="E175" s="139"/>
      <c r="F175" s="139"/>
      <c r="G175" s="139"/>
      <c r="H175" s="139"/>
      <c r="I175" s="322"/>
      <c r="J175" s="139"/>
      <c r="K175" s="322"/>
      <c r="L175" s="139"/>
      <c r="M175" s="139"/>
      <c r="N175" s="139"/>
      <c r="O175" s="139"/>
      <c r="P175" s="139"/>
      <c r="Q175" s="139"/>
      <c r="R175" s="139"/>
    </row>
    <row r="176" spans="1:18">
      <c r="A176" s="139"/>
      <c r="B176" s="139"/>
      <c r="C176" s="139"/>
      <c r="D176" s="139"/>
      <c r="E176" s="139"/>
      <c r="F176" s="139"/>
      <c r="G176" s="139"/>
      <c r="H176" s="139"/>
      <c r="I176" s="322"/>
      <c r="J176" s="139"/>
      <c r="K176" s="322"/>
      <c r="L176" s="139"/>
      <c r="M176" s="139"/>
      <c r="N176" s="139"/>
      <c r="O176" s="139"/>
      <c r="P176" s="139"/>
      <c r="Q176" s="139"/>
      <c r="R176" s="139"/>
    </row>
    <row r="177" spans="1:18">
      <c r="A177" s="139"/>
      <c r="B177" s="139"/>
      <c r="C177" s="139"/>
      <c r="D177" s="139"/>
      <c r="E177" s="139"/>
      <c r="F177" s="139"/>
      <c r="G177" s="139"/>
      <c r="H177" s="139"/>
      <c r="I177" s="322"/>
      <c r="J177" s="139"/>
      <c r="K177" s="322"/>
      <c r="L177" s="139"/>
      <c r="M177" s="139"/>
      <c r="N177" s="139"/>
      <c r="O177" s="139"/>
      <c r="P177" s="139"/>
      <c r="Q177" s="139"/>
      <c r="R177" s="139"/>
    </row>
    <row r="178" spans="1:18">
      <c r="A178" s="139"/>
      <c r="B178" s="139"/>
      <c r="C178" s="139"/>
      <c r="D178" s="139"/>
      <c r="E178" s="139"/>
      <c r="F178" s="139"/>
      <c r="G178" s="139"/>
      <c r="H178" s="139"/>
      <c r="I178" s="322"/>
      <c r="J178" s="139"/>
      <c r="K178" s="322"/>
      <c r="L178" s="139"/>
      <c r="M178" s="139"/>
      <c r="N178" s="139"/>
      <c r="O178" s="139"/>
      <c r="P178" s="139"/>
      <c r="Q178" s="139"/>
      <c r="R178" s="139"/>
    </row>
    <row r="179" spans="1:18">
      <c r="A179" s="139"/>
      <c r="B179" s="139"/>
      <c r="C179" s="139"/>
      <c r="D179" s="139"/>
      <c r="E179" s="139"/>
      <c r="F179" s="139"/>
      <c r="G179" s="139"/>
      <c r="H179" s="139"/>
      <c r="I179" s="322"/>
      <c r="J179" s="139"/>
      <c r="K179" s="322"/>
      <c r="L179" s="139"/>
      <c r="M179" s="139"/>
      <c r="N179" s="139"/>
      <c r="O179" s="139"/>
      <c r="P179" s="139"/>
      <c r="Q179" s="139"/>
      <c r="R179" s="139"/>
    </row>
    <row r="180" spans="1:18">
      <c r="A180" s="139"/>
      <c r="B180" s="139"/>
      <c r="C180" s="139"/>
      <c r="D180" s="139"/>
      <c r="E180" s="139"/>
      <c r="F180" s="139"/>
      <c r="G180" s="139"/>
      <c r="H180" s="139"/>
      <c r="I180" s="322"/>
      <c r="J180" s="139"/>
      <c r="K180" s="322"/>
      <c r="L180" s="139"/>
      <c r="M180" s="139"/>
      <c r="N180" s="139"/>
      <c r="O180" s="139"/>
      <c r="P180" s="139"/>
      <c r="Q180" s="139"/>
      <c r="R180" s="139"/>
    </row>
    <row r="181" spans="1:18">
      <c r="A181" s="139"/>
      <c r="B181" s="139"/>
      <c r="C181" s="139"/>
      <c r="D181" s="139"/>
      <c r="E181" s="139"/>
      <c r="F181" s="139"/>
      <c r="G181" s="139"/>
      <c r="H181" s="139"/>
      <c r="I181" s="322"/>
      <c r="J181" s="139"/>
      <c r="K181" s="322"/>
      <c r="L181" s="139"/>
      <c r="M181" s="139"/>
      <c r="N181" s="139"/>
      <c r="O181" s="139"/>
      <c r="P181" s="139"/>
      <c r="Q181" s="139"/>
      <c r="R181" s="139"/>
    </row>
    <row r="182" spans="1:18">
      <c r="A182" s="139"/>
      <c r="B182" s="139"/>
      <c r="C182" s="139"/>
      <c r="D182" s="139"/>
      <c r="E182" s="139"/>
      <c r="F182" s="139"/>
      <c r="G182" s="139"/>
      <c r="H182" s="139"/>
      <c r="I182" s="322"/>
      <c r="J182" s="139"/>
      <c r="K182" s="322"/>
      <c r="L182" s="139"/>
      <c r="M182" s="139"/>
      <c r="N182" s="139"/>
      <c r="O182" s="139"/>
      <c r="P182" s="139"/>
      <c r="Q182" s="139"/>
      <c r="R182" s="139"/>
    </row>
    <row r="183" spans="1:18">
      <c r="A183" s="139"/>
      <c r="B183" s="139"/>
      <c r="C183" s="139"/>
      <c r="D183" s="139"/>
      <c r="E183" s="139"/>
      <c r="F183" s="139"/>
      <c r="G183" s="139"/>
      <c r="H183" s="139"/>
      <c r="I183" s="322"/>
      <c r="J183" s="139"/>
      <c r="K183" s="322"/>
      <c r="L183" s="139"/>
      <c r="M183" s="139"/>
      <c r="N183" s="139"/>
      <c r="O183" s="139"/>
      <c r="P183" s="139"/>
      <c r="Q183" s="139"/>
      <c r="R183" s="139"/>
    </row>
    <row r="184" spans="1:18">
      <c r="A184" s="139"/>
      <c r="B184" s="139"/>
      <c r="C184" s="139"/>
      <c r="D184" s="139"/>
      <c r="E184" s="139"/>
      <c r="F184" s="139"/>
      <c r="G184" s="139"/>
      <c r="H184" s="139"/>
      <c r="I184" s="322"/>
      <c r="J184" s="139"/>
      <c r="K184" s="322"/>
      <c r="L184" s="139"/>
      <c r="M184" s="139"/>
      <c r="N184" s="139"/>
      <c r="O184" s="139"/>
      <c r="P184" s="139"/>
      <c r="Q184" s="139"/>
      <c r="R184" s="139"/>
    </row>
    <row r="185" spans="1:18">
      <c r="A185" s="139"/>
      <c r="B185" s="139"/>
      <c r="C185" s="139"/>
      <c r="D185" s="139"/>
      <c r="E185" s="139"/>
      <c r="F185" s="139"/>
      <c r="G185" s="139"/>
      <c r="H185" s="139"/>
      <c r="I185" s="322"/>
      <c r="J185" s="139"/>
      <c r="K185" s="322"/>
      <c r="L185" s="139"/>
      <c r="M185" s="139"/>
      <c r="N185" s="139"/>
      <c r="O185" s="139"/>
      <c r="P185" s="139"/>
      <c r="Q185" s="139"/>
      <c r="R185" s="139"/>
    </row>
    <row r="186" spans="1:18">
      <c r="A186" s="139"/>
      <c r="B186" s="139"/>
      <c r="C186" s="139"/>
      <c r="D186" s="139"/>
      <c r="E186" s="139"/>
      <c r="F186" s="139"/>
      <c r="G186" s="139"/>
      <c r="H186" s="139"/>
      <c r="I186" s="322"/>
      <c r="J186" s="139"/>
      <c r="K186" s="322"/>
      <c r="L186" s="139"/>
      <c r="M186" s="139"/>
      <c r="N186" s="139"/>
      <c r="O186" s="139"/>
      <c r="P186" s="139"/>
      <c r="Q186" s="139"/>
      <c r="R186" s="139"/>
    </row>
    <row r="187" spans="1:18">
      <c r="A187" s="139"/>
      <c r="B187" s="139"/>
      <c r="C187" s="139"/>
      <c r="D187" s="139"/>
      <c r="E187" s="139"/>
      <c r="F187" s="139"/>
      <c r="G187" s="139"/>
      <c r="H187" s="139"/>
      <c r="I187" s="322"/>
      <c r="J187" s="139"/>
      <c r="K187" s="322"/>
      <c r="L187" s="139"/>
      <c r="M187" s="139"/>
      <c r="N187" s="139"/>
      <c r="O187" s="139"/>
      <c r="P187" s="139"/>
      <c r="Q187" s="139"/>
      <c r="R187" s="139"/>
    </row>
    <row r="188" spans="1:18">
      <c r="A188" s="139"/>
      <c r="B188" s="139"/>
      <c r="C188" s="139"/>
      <c r="D188" s="139"/>
      <c r="E188" s="139"/>
      <c r="F188" s="139"/>
      <c r="G188" s="139"/>
      <c r="H188" s="139"/>
      <c r="I188" s="322"/>
      <c r="J188" s="139"/>
      <c r="K188" s="322"/>
      <c r="L188" s="139"/>
      <c r="M188" s="139"/>
      <c r="N188" s="139"/>
      <c r="O188" s="139"/>
      <c r="P188" s="139"/>
      <c r="Q188" s="139"/>
      <c r="R188" s="139"/>
    </row>
    <row r="189" spans="1:18">
      <c r="A189" s="139"/>
      <c r="B189" s="139"/>
      <c r="C189" s="139"/>
      <c r="D189" s="139"/>
      <c r="E189" s="139"/>
      <c r="F189" s="139"/>
      <c r="G189" s="139"/>
      <c r="H189" s="139"/>
      <c r="I189" s="322"/>
      <c r="J189" s="139"/>
      <c r="K189" s="322"/>
      <c r="L189" s="139"/>
      <c r="M189" s="139"/>
      <c r="N189" s="139"/>
      <c r="O189" s="139"/>
      <c r="P189" s="139"/>
      <c r="Q189" s="139"/>
      <c r="R189" s="139"/>
    </row>
    <row r="190" spans="1:18">
      <c r="A190" s="139"/>
      <c r="B190" s="139"/>
      <c r="C190" s="139"/>
      <c r="D190" s="139"/>
      <c r="E190" s="139"/>
      <c r="F190" s="139"/>
      <c r="G190" s="139"/>
      <c r="H190" s="139"/>
      <c r="I190" s="322"/>
      <c r="J190" s="139"/>
      <c r="K190" s="322"/>
      <c r="L190" s="139"/>
      <c r="M190" s="139"/>
      <c r="N190" s="139"/>
      <c r="O190" s="139"/>
      <c r="P190" s="139"/>
      <c r="Q190" s="139"/>
      <c r="R190" s="139"/>
    </row>
    <row r="191" spans="1:18">
      <c r="A191" s="139"/>
      <c r="B191" s="139"/>
      <c r="C191" s="139"/>
      <c r="D191" s="139"/>
      <c r="E191" s="139"/>
      <c r="F191" s="139"/>
      <c r="G191" s="139"/>
      <c r="H191" s="139"/>
      <c r="I191" s="322"/>
      <c r="J191" s="139"/>
      <c r="K191" s="322"/>
      <c r="L191" s="139"/>
      <c r="M191" s="139"/>
      <c r="N191" s="139"/>
      <c r="O191" s="139"/>
      <c r="P191" s="139"/>
      <c r="Q191" s="139"/>
      <c r="R191" s="139"/>
    </row>
    <row r="192" spans="1:18">
      <c r="A192" s="139"/>
      <c r="B192" s="139"/>
      <c r="C192" s="139"/>
      <c r="D192" s="139"/>
      <c r="E192" s="139"/>
      <c r="F192" s="139"/>
      <c r="G192" s="139"/>
      <c r="H192" s="139"/>
      <c r="I192" s="322"/>
      <c r="J192" s="139"/>
      <c r="K192" s="322"/>
      <c r="L192" s="139"/>
      <c r="M192" s="139"/>
      <c r="N192" s="139"/>
      <c r="O192" s="139"/>
      <c r="P192" s="139"/>
      <c r="Q192" s="139"/>
      <c r="R192" s="139"/>
    </row>
    <row r="193" spans="1:18">
      <c r="A193" s="139"/>
      <c r="B193" s="139"/>
      <c r="C193" s="139"/>
      <c r="D193" s="139"/>
      <c r="E193" s="139"/>
      <c r="F193" s="139"/>
      <c r="G193" s="139"/>
      <c r="H193" s="139"/>
      <c r="I193" s="322"/>
      <c r="J193" s="139"/>
      <c r="K193" s="322"/>
      <c r="L193" s="139"/>
      <c r="M193" s="139"/>
      <c r="N193" s="139"/>
      <c r="O193" s="139"/>
      <c r="P193" s="139"/>
      <c r="Q193" s="139"/>
      <c r="R193" s="139"/>
    </row>
    <row r="194" spans="1:18">
      <c r="A194" s="139"/>
      <c r="B194" s="139"/>
      <c r="C194" s="139"/>
      <c r="D194" s="139"/>
      <c r="E194" s="139"/>
      <c r="F194" s="139"/>
      <c r="G194" s="139"/>
      <c r="H194" s="139"/>
      <c r="I194" s="322"/>
      <c r="J194" s="139"/>
      <c r="K194" s="322"/>
      <c r="L194" s="139"/>
      <c r="M194" s="139"/>
      <c r="N194" s="139"/>
      <c r="O194" s="139"/>
      <c r="P194" s="139"/>
      <c r="Q194" s="139"/>
      <c r="R194" s="139"/>
    </row>
    <row r="195" spans="1:18">
      <c r="A195" s="139"/>
      <c r="B195" s="139"/>
      <c r="C195" s="139"/>
      <c r="D195" s="139"/>
      <c r="E195" s="139"/>
      <c r="F195" s="139"/>
      <c r="G195" s="139"/>
      <c r="H195" s="139"/>
      <c r="I195" s="322"/>
      <c r="J195" s="139"/>
      <c r="K195" s="322"/>
      <c r="L195" s="139"/>
      <c r="M195" s="139"/>
      <c r="N195" s="139"/>
      <c r="O195" s="139"/>
      <c r="P195" s="139"/>
      <c r="Q195" s="139"/>
      <c r="R195" s="139"/>
    </row>
    <row r="196" spans="1:18">
      <c r="A196" s="139"/>
      <c r="B196" s="139"/>
      <c r="C196" s="139"/>
      <c r="D196" s="139"/>
      <c r="E196" s="139"/>
      <c r="F196" s="139"/>
      <c r="G196" s="139"/>
      <c r="H196" s="139"/>
      <c r="I196" s="322"/>
      <c r="J196" s="139"/>
      <c r="K196" s="322"/>
      <c r="L196" s="139"/>
      <c r="M196" s="139"/>
      <c r="N196" s="139"/>
      <c r="O196" s="139"/>
      <c r="P196" s="139"/>
      <c r="Q196" s="139"/>
      <c r="R196" s="139"/>
    </row>
    <row r="197" spans="1:18">
      <c r="A197" s="139"/>
      <c r="B197" s="139"/>
      <c r="C197" s="139"/>
      <c r="D197" s="139"/>
      <c r="E197" s="139"/>
      <c r="F197" s="139"/>
      <c r="G197" s="139"/>
      <c r="H197" s="139"/>
      <c r="I197" s="322"/>
      <c r="J197" s="139"/>
      <c r="K197" s="322"/>
      <c r="L197" s="139"/>
      <c r="M197" s="139"/>
      <c r="N197" s="139"/>
      <c r="O197" s="139"/>
      <c r="P197" s="139"/>
      <c r="Q197" s="139"/>
      <c r="R197" s="139"/>
    </row>
    <row r="198" spans="1:18">
      <c r="A198" s="139"/>
      <c r="B198" s="139"/>
      <c r="C198" s="139"/>
      <c r="D198" s="139"/>
      <c r="E198" s="139"/>
      <c r="F198" s="139"/>
      <c r="G198" s="139"/>
      <c r="H198" s="139"/>
      <c r="I198" s="322"/>
      <c r="J198" s="139"/>
      <c r="K198" s="322"/>
      <c r="L198" s="139"/>
      <c r="M198" s="139"/>
      <c r="N198" s="139"/>
      <c r="O198" s="139"/>
      <c r="P198" s="139"/>
      <c r="Q198" s="139"/>
      <c r="R198" s="139"/>
    </row>
    <row r="199" spans="1:18">
      <c r="A199" s="139"/>
      <c r="B199" s="139"/>
      <c r="C199" s="139"/>
      <c r="D199" s="139"/>
      <c r="E199" s="139"/>
      <c r="F199" s="139"/>
      <c r="G199" s="139"/>
      <c r="H199" s="139"/>
      <c r="I199" s="322"/>
      <c r="J199" s="139"/>
      <c r="K199" s="322"/>
      <c r="L199" s="139"/>
      <c r="M199" s="139"/>
      <c r="N199" s="139"/>
      <c r="O199" s="139"/>
      <c r="P199" s="139"/>
      <c r="Q199" s="139"/>
      <c r="R199" s="139"/>
    </row>
    <row r="200" spans="1:18">
      <c r="A200" s="139"/>
      <c r="B200" s="139"/>
      <c r="C200" s="139"/>
      <c r="D200" s="139"/>
      <c r="E200" s="139"/>
      <c r="F200" s="139"/>
      <c r="G200" s="139"/>
      <c r="H200" s="139"/>
      <c r="I200" s="322"/>
      <c r="J200" s="139"/>
      <c r="K200" s="322"/>
      <c r="L200" s="139"/>
      <c r="M200" s="139"/>
      <c r="N200" s="139"/>
      <c r="O200" s="139"/>
      <c r="P200" s="139"/>
      <c r="Q200" s="139"/>
      <c r="R200" s="139"/>
    </row>
    <row r="201" spans="1:18">
      <c r="A201" s="139"/>
      <c r="B201" s="139"/>
      <c r="C201" s="139"/>
      <c r="D201" s="139"/>
      <c r="E201" s="139"/>
      <c r="F201" s="139"/>
      <c r="G201" s="139"/>
      <c r="H201" s="139"/>
      <c r="I201" s="322"/>
      <c r="J201" s="139"/>
      <c r="K201" s="322"/>
      <c r="L201" s="139"/>
      <c r="M201" s="139"/>
      <c r="N201" s="139"/>
      <c r="O201" s="139"/>
      <c r="P201" s="139"/>
      <c r="Q201" s="139"/>
      <c r="R201" s="139"/>
    </row>
    <row r="202" spans="1:18">
      <c r="A202" s="139"/>
      <c r="B202" s="139"/>
      <c r="C202" s="139"/>
      <c r="D202" s="139"/>
      <c r="E202" s="139"/>
      <c r="F202" s="139"/>
      <c r="G202" s="139"/>
      <c r="H202" s="139"/>
      <c r="I202" s="322"/>
      <c r="J202" s="139"/>
      <c r="K202" s="322"/>
      <c r="L202" s="139"/>
      <c r="M202" s="139"/>
      <c r="N202" s="139"/>
      <c r="O202" s="139"/>
      <c r="P202" s="139"/>
      <c r="Q202" s="139"/>
      <c r="R202" s="139"/>
    </row>
    <row r="203" spans="1:18">
      <c r="A203" s="139"/>
      <c r="B203" s="139"/>
      <c r="C203" s="139"/>
      <c r="D203" s="139"/>
      <c r="E203" s="139"/>
      <c r="F203" s="139"/>
      <c r="G203" s="139"/>
      <c r="H203" s="139"/>
      <c r="I203" s="322"/>
      <c r="J203" s="139"/>
      <c r="K203" s="322"/>
      <c r="L203" s="139"/>
      <c r="M203" s="139"/>
      <c r="N203" s="139"/>
      <c r="O203" s="139"/>
      <c r="P203" s="139"/>
      <c r="Q203" s="139"/>
      <c r="R203" s="139"/>
    </row>
    <row r="204" spans="1:18">
      <c r="A204" s="139"/>
      <c r="B204" s="139"/>
      <c r="C204" s="139"/>
      <c r="D204" s="139"/>
      <c r="E204" s="139"/>
      <c r="F204" s="139"/>
      <c r="G204" s="139"/>
      <c r="H204" s="139"/>
      <c r="I204" s="322"/>
      <c r="J204" s="139"/>
      <c r="K204" s="322"/>
      <c r="L204" s="139"/>
      <c r="M204" s="139"/>
      <c r="N204" s="139"/>
      <c r="O204" s="139"/>
      <c r="P204" s="139"/>
      <c r="Q204" s="139"/>
      <c r="R204" s="139"/>
    </row>
    <row r="205" spans="1:18">
      <c r="A205" s="139"/>
      <c r="B205" s="139"/>
      <c r="C205" s="139"/>
      <c r="D205" s="139"/>
      <c r="E205" s="139"/>
      <c r="F205" s="139"/>
      <c r="G205" s="139"/>
      <c r="H205" s="139"/>
      <c r="I205" s="322"/>
      <c r="J205" s="139"/>
      <c r="K205" s="322"/>
      <c r="L205" s="139"/>
      <c r="M205" s="139"/>
      <c r="N205" s="139"/>
      <c r="O205" s="139"/>
      <c r="P205" s="139"/>
      <c r="Q205" s="139"/>
      <c r="R205" s="139"/>
    </row>
    <row r="206" spans="1:18">
      <c r="A206" s="139"/>
      <c r="B206" s="139"/>
      <c r="C206" s="139"/>
      <c r="D206" s="139"/>
      <c r="E206" s="139"/>
      <c r="F206" s="139"/>
      <c r="G206" s="139"/>
      <c r="H206" s="139"/>
      <c r="I206" s="322"/>
      <c r="J206" s="139"/>
      <c r="K206" s="322"/>
      <c r="L206" s="139"/>
      <c r="M206" s="139"/>
      <c r="N206" s="139"/>
      <c r="O206" s="139"/>
      <c r="P206" s="139"/>
      <c r="Q206" s="139"/>
      <c r="R206" s="139"/>
    </row>
    <row r="207" spans="1:18">
      <c r="A207" s="139"/>
      <c r="B207" s="139"/>
      <c r="C207" s="139"/>
      <c r="D207" s="139"/>
      <c r="E207" s="139"/>
      <c r="F207" s="139"/>
      <c r="G207" s="139"/>
      <c r="H207" s="139"/>
      <c r="I207" s="322"/>
      <c r="J207" s="139"/>
      <c r="K207" s="322"/>
      <c r="L207" s="139"/>
      <c r="M207" s="139"/>
      <c r="N207" s="139"/>
      <c r="O207" s="139"/>
      <c r="P207" s="139"/>
      <c r="Q207" s="139"/>
      <c r="R207" s="139"/>
    </row>
    <row r="208" spans="1:18">
      <c r="A208" s="139"/>
      <c r="B208" s="139"/>
      <c r="C208" s="139"/>
      <c r="D208" s="139"/>
      <c r="E208" s="139"/>
      <c r="F208" s="139"/>
      <c r="G208" s="139"/>
      <c r="H208" s="139"/>
      <c r="I208" s="322"/>
      <c r="J208" s="139"/>
      <c r="K208" s="322"/>
      <c r="L208" s="139"/>
      <c r="M208" s="139"/>
      <c r="N208" s="139"/>
      <c r="O208" s="139"/>
      <c r="P208" s="139"/>
      <c r="Q208" s="139"/>
      <c r="R208" s="139"/>
    </row>
    <row r="209" spans="1:18">
      <c r="A209"/>
      <c r="B209"/>
      <c r="C209"/>
      <c r="D209"/>
      <c r="E209" s="32"/>
      <c r="F209"/>
      <c r="G209" s="57"/>
      <c r="H209" s="44"/>
      <c r="I209" s="44"/>
      <c r="J209"/>
      <c r="K209" s="2"/>
      <c r="L209" s="1"/>
      <c r="M209"/>
      <c r="N209" s="1"/>
      <c r="O209"/>
      <c r="P209"/>
      <c r="Q209"/>
      <c r="R209"/>
    </row>
    <row r="210" spans="1:18">
      <c r="A210"/>
      <c r="B210"/>
      <c r="C210"/>
      <c r="D210"/>
      <c r="E210" s="32"/>
      <c r="F210"/>
      <c r="G210" s="57"/>
      <c r="H210" s="44"/>
      <c r="I210" s="44"/>
      <c r="J210"/>
      <c r="K210" s="2"/>
      <c r="L210" s="1"/>
      <c r="M210"/>
      <c r="N210" s="1"/>
      <c r="O210"/>
      <c r="P210"/>
      <c r="Q210"/>
      <c r="R210"/>
    </row>
  </sheetData>
  <mergeCells count="11">
    <mergeCell ref="A2:A27"/>
    <mergeCell ref="B2:B27"/>
    <mergeCell ref="M2:M27"/>
    <mergeCell ref="N2:N27"/>
    <mergeCell ref="C2:C4"/>
    <mergeCell ref="C6:C8"/>
    <mergeCell ref="C10:C12"/>
    <mergeCell ref="C13:C16"/>
    <mergeCell ref="C17:C18"/>
    <mergeCell ref="C19:C20"/>
    <mergeCell ref="C21:C27"/>
  </mergeCells>
  <conditionalFormatting sqref="I2:I11">
    <cfRule type="containsText" dxfId="87" priority="9" operator="containsText" text="em edição">
      <formula>NOT(ISERROR(SEARCH("em edição",I2)))</formula>
    </cfRule>
    <cfRule type="containsText" dxfId="86" priority="10" operator="containsText" text="procedimento interno">
      <formula>NOT(ISERROR(SEARCH("procedimento interno",I2)))</formula>
    </cfRule>
    <cfRule type="containsText" dxfId="85" priority="11" operator="containsText" text="finalizado">
      <formula>NOT(ISERROR(SEARCH("finalizado",I2)))</formula>
    </cfRule>
    <cfRule type="containsText" dxfId="84" priority="12" operator="containsText" text="em correção">
      <formula>NOT(ISERROR(SEARCH("em correção",I2)))</formula>
    </cfRule>
    <cfRule type="containsText" dxfId="83" priority="13" operator="containsText" text="editado pela TV">
      <formula>NOT(ISERROR(SEARCH("editado pela TV",I2)))</formula>
    </cfRule>
    <cfRule type="containsText" dxfId="82" priority="14" operator="containsText" text="em correção">
      <formula>NOT(ISERROR(SEARCH("em correção",I2)))</formula>
    </cfRule>
    <cfRule type="containsText" dxfId="81" priority="15" operator="containsText" text="enviado pelo prof">
      <formula>NOT(ISERROR(SEARCH("enviado pelo prof",I2)))</formula>
    </cfRule>
    <cfRule type="containsText" dxfId="80" priority="16" operator="containsText" text="vai gravar">
      <formula>NOT(ISERROR(SEARCH("vai gravar",I2)))</formula>
    </cfRule>
  </conditionalFormatting>
  <conditionalFormatting sqref="I12:I27">
    <cfRule type="containsText" dxfId="79" priority="1" operator="containsText" text="em edição">
      <formula>NOT(ISERROR(SEARCH("em edição",I12)))</formula>
    </cfRule>
    <cfRule type="containsText" dxfId="78" priority="2" operator="containsText" text="procedimento interno">
      <formula>NOT(ISERROR(SEARCH("procedimento interno",I12)))</formula>
    </cfRule>
    <cfRule type="containsText" dxfId="77" priority="3" operator="containsText" text="finalizado">
      <formula>NOT(ISERROR(SEARCH("finalizado",I12)))</formula>
    </cfRule>
    <cfRule type="containsText" dxfId="76" priority="4" operator="containsText" text="em correção">
      <formula>NOT(ISERROR(SEARCH("em correção",I12)))</formula>
    </cfRule>
    <cfRule type="containsText" dxfId="75" priority="5" operator="containsText" text="editado pela TV">
      <formula>NOT(ISERROR(SEARCH("editado pela TV",I12)))</formula>
    </cfRule>
    <cfRule type="containsText" dxfId="74" priority="6" operator="containsText" text="em correção">
      <formula>NOT(ISERROR(SEARCH("em correção",I12)))</formula>
    </cfRule>
    <cfRule type="containsText" dxfId="73" priority="7" operator="containsText" text="enviado pelo prof">
      <formula>NOT(ISERROR(SEARCH("enviado pelo prof",I12)))</formula>
    </cfRule>
    <cfRule type="containsText" dxfId="72" priority="8" operator="containsText" text="vai gravar">
      <formula>NOT(ISERROR(SEARCH("vai gravar",I12)))</formula>
    </cfRule>
  </conditionalFormatting>
  <dataValidations count="1">
    <dataValidation type="list" allowBlank="1" showInputMessage="1" showErrorMessage="1" sqref="I2:I27" xr:uid="{225AC382-71C9-452D-971A-46D0A03F73E6}">
      <formula1>" editado pela TV,finalizado,em correção,enviado pelo prof,vai gravar,em edição,procedimento interno"</formula1>
    </dataValidation>
  </dataValidations>
  <hyperlinks>
    <hyperlink ref="K3:K4" r:id="rId1" xr:uid="{CB6237BF-2770-4325-BA67-8C2CA0C6EAA5}"/>
    <hyperlink ref="H3" r:id="rId2" xr:uid="{034C7AC3-B17A-40DF-A70C-5C9A183861C2}"/>
    <hyperlink ref="H4" r:id="rId3" xr:uid="{4D297F97-40C1-4BE1-8F48-08DEBCE92157}"/>
    <hyperlink ref="G3" r:id="rId4" xr:uid="{9EC47651-6052-4624-8ABB-7B79FC8025BB}"/>
    <hyperlink ref="G4" r:id="rId5" xr:uid="{B670F9D8-357E-4EF4-8D17-826B9BFA5046}"/>
    <hyperlink ref="G2" r:id="rId6" xr:uid="{6D4D47F3-4B3D-4D87-A7ED-BFEA45E68693}"/>
    <hyperlink ref="H11" r:id="rId7" xr:uid="{32BB6632-48EE-4D2B-85DB-0D8B89C06041}"/>
    <hyperlink ref="H12:H13" r:id="rId8" xr:uid="{44763843-24E8-4BDD-A3BB-196EB2F6618C}"/>
    <hyperlink ref="H15:H16" r:id="rId9" xr:uid="{2A8A8EEE-971A-42D7-8AD4-252BDF14A371}"/>
    <hyperlink ref="G6" r:id="rId10" xr:uid="{7941450B-B26F-4EB2-AAAA-68CDA641B30F}"/>
    <hyperlink ref="G8" r:id="rId11" xr:uid="{80932DB8-C7DA-4A22-B9BE-EF8B82F4BA70}"/>
    <hyperlink ref="G12" r:id="rId12" xr:uid="{E34A7316-0CDD-4A9D-83A6-79A3EF1345AA}"/>
    <hyperlink ref="G13" r:id="rId13" xr:uid="{77F57431-919A-439A-9259-29D94AC53ABC}"/>
    <hyperlink ref="G14" r:id="rId14" xr:uid="{E742AAB5-5FA8-495A-BFF8-5FFB429C3038}"/>
    <hyperlink ref="G15" r:id="rId15" xr:uid="{FAFC8BD2-F2B1-4AE2-A39A-43C53776EC35}"/>
    <hyperlink ref="G16" r:id="rId16" xr:uid="{2F88865D-A90F-4332-8073-EDF54CB76D42}"/>
    <hyperlink ref="G17" r:id="rId17" xr:uid="{1DB90DF5-FC82-47E4-8047-97740DFFF638}"/>
    <hyperlink ref="G18" r:id="rId18" xr:uid="{A3129E77-E0B7-4AC0-9DE0-74723D3027E4}"/>
    <hyperlink ref="G19" r:id="rId19" xr:uid="{3E437AF2-81DC-4A7F-AFA4-F0D855D62B6A}"/>
    <hyperlink ref="G20" r:id="rId20" xr:uid="{C7AE10E6-2EAD-4CA0-87C8-9E917EF587FD}"/>
    <hyperlink ref="G5" r:id="rId21" xr:uid="{AE4D72E9-11FC-4C5F-BDCA-926589888C90}"/>
    <hyperlink ref="G9" r:id="rId22" xr:uid="{ABABE12C-F311-4978-9E3D-FC5089CB6EC7}"/>
    <hyperlink ref="G10" r:id="rId23" xr:uid="{7F6DB5B9-B4DB-4FC5-8719-4A3198998C83}"/>
    <hyperlink ref="G11" r:id="rId24" xr:uid="{4E20FF82-A3A5-44AA-B2F7-8CC0C4492468}"/>
    <hyperlink ref="G21" r:id="rId25" xr:uid="{D3D1F9D6-5FA8-43DA-9C3B-BC8DEE5955F1}"/>
    <hyperlink ref="G22" r:id="rId26" xr:uid="{A716C24C-2154-49F5-9101-F16B18D387EB}"/>
    <hyperlink ref="G23" r:id="rId27" xr:uid="{AA5B92D6-14F9-4BB4-97A3-A0DD0E5EC345}"/>
    <hyperlink ref="G24" r:id="rId28" xr:uid="{4F6BB88E-1F9D-4ACC-A630-B8DE3E128A36}"/>
    <hyperlink ref="G26" r:id="rId29" xr:uid="{DD583104-6093-46D7-A06A-4363E8FEB804}"/>
    <hyperlink ref="G27" r:id="rId30" xr:uid="{D11524C6-047A-4F0E-AA6A-637CCC5842D6}"/>
    <hyperlink ref="G25" r:id="rId31" xr:uid="{526C3A1E-30E2-4F99-861F-193E8BD42583}"/>
    <hyperlink ref="H21" r:id="rId32" xr:uid="{12223FB1-F17F-4E72-9586-F9ABEF153E38}"/>
    <hyperlink ref="H22" r:id="rId33" xr:uid="{018C061B-3A3A-4996-B9CF-8D912C88D683}"/>
    <hyperlink ref="H23" r:id="rId34" xr:uid="{43EC993B-5838-4FF7-8FE0-A2AA342BAC9C}"/>
    <hyperlink ref="H24:H27" r:id="rId35" xr:uid="{CD41030A-3F84-4039-A35B-9FD024BB72E3}"/>
    <hyperlink ref="G7" r:id="rId36" xr:uid="{A3C296B9-964B-4949-B1B7-830683C90B6F}"/>
  </hyperlinks>
  <pageMargins left="0.7" right="0.7" top="0.75" bottom="0.75" header="0.3" footer="0.3"/>
  <legacyDrawing r:id="rId3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DC6E-26E5-42AD-A29D-9409FF00C53B}">
  <dimension ref="A1:H44"/>
  <sheetViews>
    <sheetView workbookViewId="0">
      <selection activeCell="B1" sqref="B1"/>
    </sheetView>
  </sheetViews>
  <sheetFormatPr defaultRowHeight="15"/>
  <cols>
    <col min="1" max="1" width="36.5703125" customWidth="1"/>
    <col min="2" max="2" width="33.28515625" customWidth="1"/>
    <col min="3" max="3" width="27" style="44" customWidth="1"/>
    <col min="4" max="4" width="11.85546875" customWidth="1"/>
  </cols>
  <sheetData>
    <row r="1" spans="1:8" ht="18">
      <c r="A1" s="290" t="s">
        <v>174</v>
      </c>
      <c r="B1" s="290" t="s">
        <v>176</v>
      </c>
      <c r="C1" s="4" t="s">
        <v>3410</v>
      </c>
      <c r="D1" s="299" t="s">
        <v>181</v>
      </c>
    </row>
    <row r="2" spans="1:8">
      <c r="A2" s="301" t="s">
        <v>3411</v>
      </c>
      <c r="B2" s="298" t="s">
        <v>3412</v>
      </c>
      <c r="C2" s="297" t="s">
        <v>3413</v>
      </c>
      <c r="D2" s="218">
        <v>2.1643518518518518E-3</v>
      </c>
    </row>
    <row r="3" spans="1:8">
      <c r="A3" s="301" t="s">
        <v>3414</v>
      </c>
      <c r="B3" s="298" t="s">
        <v>3415</v>
      </c>
      <c r="C3" s="297" t="s">
        <v>3416</v>
      </c>
      <c r="D3" s="218">
        <v>2.2222222222222222E-3</v>
      </c>
    </row>
    <row r="4" spans="1:8">
      <c r="A4" s="301" t="s">
        <v>3417</v>
      </c>
      <c r="B4" s="298" t="s">
        <v>3418</v>
      </c>
      <c r="C4" s="297" t="s">
        <v>3419</v>
      </c>
      <c r="D4" s="218">
        <v>2.3032407407407407E-3</v>
      </c>
    </row>
    <row r="5" spans="1:8">
      <c r="A5" s="301" t="s">
        <v>3420</v>
      </c>
      <c r="B5" s="298" t="s">
        <v>3421</v>
      </c>
      <c r="C5" s="297" t="s">
        <v>3422</v>
      </c>
      <c r="D5" s="218">
        <v>1.2962962962962963E-3</v>
      </c>
    </row>
    <row r="6" spans="1:8">
      <c r="A6" s="301" t="s">
        <v>3423</v>
      </c>
      <c r="B6" s="298" t="s">
        <v>3424</v>
      </c>
      <c r="C6" s="297" t="s">
        <v>3425</v>
      </c>
      <c r="D6" s="218">
        <v>1.7476851851851852E-3</v>
      </c>
    </row>
    <row r="7" spans="1:8">
      <c r="A7" s="301" t="s">
        <v>3426</v>
      </c>
      <c r="B7" s="298" t="s">
        <v>3427</v>
      </c>
      <c r="C7" s="297" t="s">
        <v>3428</v>
      </c>
      <c r="D7" s="218">
        <v>2.3263888888888887E-3</v>
      </c>
    </row>
    <row r="8" spans="1:8">
      <c r="A8" s="301" t="s">
        <v>3429</v>
      </c>
      <c r="B8" s="298" t="s">
        <v>3430</v>
      </c>
      <c r="C8" s="297" t="s">
        <v>3431</v>
      </c>
      <c r="D8" s="218">
        <v>2.2453703703703702E-3</v>
      </c>
    </row>
    <row r="9" spans="1:8">
      <c r="A9" s="301" t="s">
        <v>3432</v>
      </c>
      <c r="B9" s="298" t="s">
        <v>3433</v>
      </c>
      <c r="C9" s="297" t="s">
        <v>3434</v>
      </c>
      <c r="D9" s="218">
        <v>3.1365740740740742E-3</v>
      </c>
    </row>
    <row r="10" spans="1:8">
      <c r="A10" s="301" t="s">
        <v>3435</v>
      </c>
      <c r="B10" s="298" t="s">
        <v>3436</v>
      </c>
      <c r="C10" s="297" t="s">
        <v>3437</v>
      </c>
      <c r="D10" s="218">
        <v>2.3726851851851851E-3</v>
      </c>
    </row>
    <row r="11" spans="1:8">
      <c r="A11" s="301" t="s">
        <v>3438</v>
      </c>
      <c r="B11" s="298" t="s">
        <v>3439</v>
      </c>
      <c r="C11" s="297" t="s">
        <v>3440</v>
      </c>
      <c r="D11" s="218">
        <v>4.9884259259259257E-3</v>
      </c>
      <c r="H11" s="296"/>
    </row>
    <row r="12" spans="1:8">
      <c r="A12" s="301" t="s">
        <v>3441</v>
      </c>
      <c r="B12" s="298" t="s">
        <v>3442</v>
      </c>
      <c r="C12" s="297" t="s">
        <v>3443</v>
      </c>
      <c r="D12" s="218">
        <v>3.0902777777777777E-3</v>
      </c>
    </row>
    <row r="13" spans="1:8">
      <c r="A13" s="301" t="s">
        <v>3444</v>
      </c>
      <c r="B13" s="298" t="s">
        <v>3445</v>
      </c>
      <c r="C13" s="297" t="s">
        <v>3446</v>
      </c>
      <c r="D13" s="218">
        <v>2.1296296296296298E-3</v>
      </c>
    </row>
    <row r="14" spans="1:8">
      <c r="A14" s="301" t="s">
        <v>3447</v>
      </c>
      <c r="B14" s="298" t="s">
        <v>3448</v>
      </c>
      <c r="C14" s="297" t="s">
        <v>3449</v>
      </c>
      <c r="D14" s="218">
        <v>3.4375E-3</v>
      </c>
    </row>
    <row r="15" spans="1:8">
      <c r="A15" s="301" t="s">
        <v>3450</v>
      </c>
      <c r="B15" s="298" t="s">
        <v>3451</v>
      </c>
      <c r="C15" s="297" t="s">
        <v>3452</v>
      </c>
      <c r="D15" s="218">
        <v>3.3333333333333335E-3</v>
      </c>
    </row>
    <row r="16" spans="1:8" ht="30.75">
      <c r="A16" s="301" t="s">
        <v>3453</v>
      </c>
      <c r="B16" s="298" t="s">
        <v>3454</v>
      </c>
      <c r="C16" s="297" t="s">
        <v>3455</v>
      </c>
      <c r="D16" s="218">
        <v>4.8611111111111112E-3</v>
      </c>
    </row>
    <row r="17" spans="1:5">
      <c r="A17" s="301" t="s">
        <v>3456</v>
      </c>
      <c r="B17" s="298" t="s">
        <v>3457</v>
      </c>
      <c r="C17" s="297" t="s">
        <v>3458</v>
      </c>
      <c r="D17" s="218">
        <v>2.3287037037037037E-2</v>
      </c>
    </row>
    <row r="18" spans="1:5">
      <c r="A18" s="301" t="s">
        <v>3459</v>
      </c>
      <c r="B18" s="298" t="s">
        <v>3460</v>
      </c>
      <c r="C18" s="297" t="s">
        <v>3461</v>
      </c>
      <c r="D18" s="218">
        <v>2.1759259259259258E-3</v>
      </c>
    </row>
    <row r="19" spans="1:5">
      <c r="A19" s="301" t="s">
        <v>3462</v>
      </c>
      <c r="B19" s="298" t="s">
        <v>3463</v>
      </c>
      <c r="C19" s="297" t="s">
        <v>3464</v>
      </c>
      <c r="D19" s="218">
        <v>1.6203703703703703E-3</v>
      </c>
    </row>
    <row r="20" spans="1:5">
      <c r="A20" s="301" t="s">
        <v>3465</v>
      </c>
      <c r="B20" s="298" t="s">
        <v>3466</v>
      </c>
      <c r="C20" s="297" t="s">
        <v>3467</v>
      </c>
      <c r="D20" s="218">
        <v>4.8842592592592592E-3</v>
      </c>
    </row>
    <row r="21" spans="1:5">
      <c r="A21" s="301" t="s">
        <v>3468</v>
      </c>
      <c r="B21" s="298" t="s">
        <v>3469</v>
      </c>
      <c r="C21" s="297" t="s">
        <v>3470</v>
      </c>
      <c r="D21" s="218">
        <v>3.6111111111111109E-3</v>
      </c>
    </row>
    <row r="22" spans="1:5">
      <c r="A22" s="301" t="s">
        <v>3471</v>
      </c>
      <c r="B22" s="298" t="s">
        <v>3472</v>
      </c>
      <c r="C22" s="297" t="s">
        <v>3473</v>
      </c>
      <c r="D22" s="218">
        <v>3.4375E-3</v>
      </c>
    </row>
    <row r="23" spans="1:5" ht="30.75">
      <c r="A23" s="301" t="s">
        <v>3474</v>
      </c>
      <c r="B23" s="298" t="s">
        <v>3475</v>
      </c>
      <c r="C23" s="297" t="s">
        <v>3476</v>
      </c>
      <c r="D23" s="218">
        <v>1.3541666666666667E-3</v>
      </c>
    </row>
    <row r="24" spans="1:5">
      <c r="A24" s="301" t="s">
        <v>3477</v>
      </c>
      <c r="B24" s="298" t="s">
        <v>3478</v>
      </c>
      <c r="C24" s="297" t="s">
        <v>3479</v>
      </c>
      <c r="D24" s="218">
        <v>1.6435185185185185E-3</v>
      </c>
    </row>
    <row r="25" spans="1:5">
      <c r="A25" s="301" t="s">
        <v>3480</v>
      </c>
      <c r="B25" s="298" t="s">
        <v>3481</v>
      </c>
      <c r="C25" s="297" t="s">
        <v>3482</v>
      </c>
      <c r="D25" s="218">
        <v>1.653935185185185E-2</v>
      </c>
    </row>
    <row r="26" spans="1:5">
      <c r="A26" s="301" t="s">
        <v>3483</v>
      </c>
      <c r="B26" s="298" t="s">
        <v>3484</v>
      </c>
      <c r="C26" s="297" t="s">
        <v>3485</v>
      </c>
      <c r="D26" s="218">
        <v>2.7314814814814814E-3</v>
      </c>
    </row>
    <row r="27" spans="1:5">
      <c r="A27" s="302" t="s">
        <v>3486</v>
      </c>
      <c r="B27" s="298" t="s">
        <v>3448</v>
      </c>
      <c r="C27" s="297" t="s">
        <v>3487</v>
      </c>
      <c r="D27" s="218">
        <v>3.449074074074074E-3</v>
      </c>
    </row>
    <row r="28" spans="1:5" ht="30.75">
      <c r="A28" s="301" t="s">
        <v>3488</v>
      </c>
      <c r="B28" s="300" t="s">
        <v>3489</v>
      </c>
      <c r="C28" s="297" t="s">
        <v>3490</v>
      </c>
      <c r="D28" s="218">
        <v>3.472222222222222E-3</v>
      </c>
    </row>
    <row r="29" spans="1:5" ht="30.75">
      <c r="A29" s="301" t="s">
        <v>3491</v>
      </c>
      <c r="B29" s="300" t="s">
        <v>3492</v>
      </c>
      <c r="C29" s="297" t="s">
        <v>3493</v>
      </c>
      <c r="D29" s="218">
        <v>1.9097222222222222E-3</v>
      </c>
    </row>
    <row r="30" spans="1:5">
      <c r="A30" s="303" t="s">
        <v>3494</v>
      </c>
      <c r="B30" s="298" t="s">
        <v>3495</v>
      </c>
      <c r="C30" s="297" t="s">
        <v>3496</v>
      </c>
      <c r="D30" s="218">
        <v>2.1527777777777778E-3</v>
      </c>
      <c r="E30" s="291"/>
    </row>
    <row r="31" spans="1:5">
      <c r="A31" s="301" t="s">
        <v>3497</v>
      </c>
      <c r="B31" s="298" t="s">
        <v>3498</v>
      </c>
      <c r="C31" s="297" t="s">
        <v>3499</v>
      </c>
      <c r="D31" s="218">
        <v>1.5625000000000001E-3</v>
      </c>
      <c r="E31" s="292"/>
    </row>
    <row r="32" spans="1:5">
      <c r="B32" s="294"/>
      <c r="D32" s="218"/>
      <c r="E32" s="292"/>
    </row>
    <row r="33" spans="2:5">
      <c r="B33" s="295"/>
      <c r="D33" s="218"/>
      <c r="E33" s="293"/>
    </row>
    <row r="34" spans="2:5">
      <c r="B34" s="295"/>
      <c r="D34" s="218"/>
    </row>
    <row r="35" spans="2:5">
      <c r="D35" s="218"/>
    </row>
    <row r="36" spans="2:5">
      <c r="D36" s="218"/>
    </row>
    <row r="37" spans="2:5">
      <c r="D37" s="218"/>
    </row>
    <row r="38" spans="2:5">
      <c r="D38" s="218"/>
    </row>
    <row r="39" spans="2:5">
      <c r="D39" s="218"/>
    </row>
    <row r="40" spans="2:5">
      <c r="D40" s="218"/>
    </row>
    <row r="41" spans="2:5">
      <c r="D41" s="218"/>
    </row>
    <row r="42" spans="2:5">
      <c r="D42" s="218"/>
    </row>
    <row r="43" spans="2:5">
      <c r="D43" s="218"/>
    </row>
    <row r="44" spans="2:5">
      <c r="D44" s="218"/>
    </row>
  </sheetData>
  <hyperlinks>
    <hyperlink ref="B18" r:id="rId1" xr:uid="{B4D01B60-0B7B-4E4F-897E-9128B520B285}"/>
    <hyperlink ref="B28" r:id="rId2" xr:uid="{87A57D53-ACB9-4E3A-A020-BD88B50AA7F8}"/>
    <hyperlink ref="B29" r:id="rId3" xr:uid="{869D8718-D0A1-4706-9AF6-E14419ECDF34}"/>
    <hyperlink ref="B31" r:id="rId4" xr:uid="{A8A97A85-F2ED-44E2-880E-E73A69EA939A}"/>
    <hyperlink ref="B30" r:id="rId5" xr:uid="{C8CB49ED-334E-4050-9218-72F256B5C370}"/>
    <hyperlink ref="B2" r:id="rId6" xr:uid="{AB7F6281-6745-4108-B15A-5F49D24A74B4}"/>
    <hyperlink ref="B3" r:id="rId7" xr:uid="{185BE0E9-B4C9-412F-B8E9-CD4E68B0C4FC}"/>
    <hyperlink ref="B4" r:id="rId8" xr:uid="{EFDFC346-3530-4A8C-9CCA-EAA47C0E451B}"/>
    <hyperlink ref="B5" r:id="rId9" xr:uid="{BCFA5DC3-368A-4354-97E6-11209A5E48B5}"/>
    <hyperlink ref="B6" r:id="rId10" xr:uid="{7F44B1F2-0225-45D3-9232-DFAB67DEAEC4}"/>
    <hyperlink ref="B7" r:id="rId11" xr:uid="{5054ABF8-4413-473F-944C-57EA03E7C960}"/>
    <hyperlink ref="B8" r:id="rId12" xr:uid="{2BD8B15B-6040-4FD9-A769-DDA6F59A660E}"/>
    <hyperlink ref="B9" r:id="rId13" xr:uid="{721B61A6-2CB7-40FE-B169-AD7899E0263D}"/>
    <hyperlink ref="B10" r:id="rId14" xr:uid="{2E7FF522-2E4B-4C14-81AE-8D84255AE2CA}"/>
    <hyperlink ref="B11" r:id="rId15" xr:uid="{7B41942C-8AC1-415D-B1B2-4B4994BE1D90}"/>
    <hyperlink ref="B12" r:id="rId16" xr:uid="{85AE3ABF-7154-4DB4-8E48-6EF6C1581612}"/>
    <hyperlink ref="B14" r:id="rId17" xr:uid="{A21C282D-391B-47A9-87C7-1DA992E7DBFB}"/>
    <hyperlink ref="B13" r:id="rId18" xr:uid="{4BCE6E02-3A2A-4FFB-828F-679A49DD0D39}"/>
    <hyperlink ref="B15" r:id="rId19" xr:uid="{000FC403-1081-427D-A028-671B45BF26BD}"/>
    <hyperlink ref="B16" r:id="rId20" xr:uid="{67ED9C03-711C-4BC7-85DA-350FB56391EE}"/>
    <hyperlink ref="B17" r:id="rId21" xr:uid="{0F9DC120-A166-4168-A68E-F331D047FC1D}"/>
    <hyperlink ref="B19" r:id="rId22" xr:uid="{8E330CE9-0C50-491A-BBF4-848647870683}"/>
    <hyperlink ref="B20" r:id="rId23" xr:uid="{5A00ADF9-9C68-4849-A66D-A21BB5CCC02F}"/>
    <hyperlink ref="B21" r:id="rId24" xr:uid="{F890CEBF-58B4-456F-85FA-777A92BAD577}"/>
    <hyperlink ref="B22" r:id="rId25" xr:uid="{37C5F2E5-05C5-47C0-A669-435BEF1C44D5}"/>
    <hyperlink ref="B23" r:id="rId26" xr:uid="{4C554778-5CDB-49C6-9D8A-D03575B65C33}"/>
    <hyperlink ref="B24" r:id="rId27" xr:uid="{D8BB5460-CDA6-49DD-997D-7E98FB4933EC}"/>
    <hyperlink ref="B25" r:id="rId28" xr:uid="{0C469908-0D1F-421D-946D-B2198FDCE93F}"/>
    <hyperlink ref="B26" r:id="rId29" xr:uid="{900E1969-EF24-45DA-B09A-EC2FA5D478F3}"/>
    <hyperlink ref="B27" r:id="rId30" xr:uid="{EB8C6DE0-0752-4148-8939-178A44DE349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5901-3A28-45D6-9495-C4D827F6697D}">
  <dimension ref="A1:F40"/>
  <sheetViews>
    <sheetView workbookViewId="0">
      <selection activeCell="F44" sqref="F44"/>
    </sheetView>
  </sheetViews>
  <sheetFormatPr defaultRowHeight="15"/>
  <cols>
    <col min="1" max="1" width="36.42578125" style="18" customWidth="1"/>
    <col min="2" max="2" width="27.42578125" style="1" customWidth="1"/>
    <col min="3" max="3" width="18.7109375" style="1" customWidth="1"/>
    <col min="4" max="4" width="18.5703125" style="1" customWidth="1"/>
    <col min="5" max="5" width="34.140625" customWidth="1"/>
    <col min="6" max="6" width="23.7109375" customWidth="1"/>
  </cols>
  <sheetData>
    <row r="1" spans="1:6" s="1" customFormat="1" ht="18">
      <c r="A1" s="304" t="s">
        <v>3500</v>
      </c>
      <c r="B1" s="304" t="s">
        <v>3501</v>
      </c>
      <c r="C1" s="304" t="s">
        <v>3502</v>
      </c>
      <c r="D1" s="304" t="s">
        <v>3503</v>
      </c>
      <c r="E1" s="304" t="s">
        <v>176</v>
      </c>
      <c r="F1" s="304" t="s">
        <v>3504</v>
      </c>
    </row>
    <row r="2" spans="1:6">
      <c r="A2" s="714" t="s">
        <v>3505</v>
      </c>
      <c r="B2" s="712" t="s">
        <v>3506</v>
      </c>
      <c r="C2" s="711">
        <v>3.1909722222222221E-2</v>
      </c>
      <c r="D2" s="710" t="s">
        <v>3507</v>
      </c>
      <c r="E2" s="706" t="s">
        <v>3508</v>
      </c>
      <c r="F2" s="573" t="s">
        <v>3509</v>
      </c>
    </row>
    <row r="3" spans="1:6">
      <c r="A3" s="714"/>
      <c r="B3" s="712"/>
      <c r="C3" s="712"/>
      <c r="D3" s="710"/>
      <c r="E3" s="707"/>
      <c r="F3" s="582"/>
    </row>
    <row r="4" spans="1:6">
      <c r="A4" s="714"/>
      <c r="B4" s="712"/>
      <c r="C4" s="712"/>
      <c r="D4" s="710"/>
      <c r="E4" s="708"/>
      <c r="F4" s="582"/>
    </row>
    <row r="5" spans="1:6">
      <c r="A5" s="714" t="s">
        <v>3510</v>
      </c>
      <c r="B5" s="712" t="s">
        <v>3511</v>
      </c>
      <c r="C5" s="711">
        <v>3.1203703703703702E-2</v>
      </c>
      <c r="D5" s="710" t="s">
        <v>3512</v>
      </c>
      <c r="E5" s="706" t="s">
        <v>3513</v>
      </c>
      <c r="F5" s="582" t="s">
        <v>3509</v>
      </c>
    </row>
    <row r="6" spans="1:6">
      <c r="A6" s="714"/>
      <c r="B6" s="712"/>
      <c r="C6" s="712"/>
      <c r="D6" s="710"/>
      <c r="E6" s="707"/>
      <c r="F6" s="582"/>
    </row>
    <row r="7" spans="1:6">
      <c r="A7" s="714"/>
      <c r="B7" s="712"/>
      <c r="C7" s="712"/>
      <c r="D7" s="710"/>
      <c r="E7" s="708"/>
      <c r="F7" s="582"/>
    </row>
    <row r="8" spans="1:6">
      <c r="A8" s="714" t="s">
        <v>3514</v>
      </c>
      <c r="B8" s="712" t="s">
        <v>3515</v>
      </c>
      <c r="C8" s="711">
        <v>3.170138888888889E-2</v>
      </c>
      <c r="D8" s="710" t="s">
        <v>3516</v>
      </c>
      <c r="E8" s="706" t="s">
        <v>3517</v>
      </c>
      <c r="F8" s="582" t="s">
        <v>3509</v>
      </c>
    </row>
    <row r="9" spans="1:6">
      <c r="A9" s="714"/>
      <c r="B9" s="712"/>
      <c r="C9" s="712"/>
      <c r="D9" s="710"/>
      <c r="E9" s="707"/>
      <c r="F9" s="582"/>
    </row>
    <row r="10" spans="1:6">
      <c r="A10" s="714"/>
      <c r="B10" s="712"/>
      <c r="C10" s="712"/>
      <c r="D10" s="710"/>
      <c r="E10" s="708"/>
      <c r="F10" s="582"/>
    </row>
    <row r="11" spans="1:6">
      <c r="A11" s="714" t="s">
        <v>3518</v>
      </c>
      <c r="B11" s="713" t="s">
        <v>3519</v>
      </c>
      <c r="C11" s="711">
        <v>3.1365740740740743E-2</v>
      </c>
      <c r="D11" s="710" t="s">
        <v>3520</v>
      </c>
      <c r="E11" s="706" t="s">
        <v>3521</v>
      </c>
      <c r="F11" s="582" t="s">
        <v>3509</v>
      </c>
    </row>
    <row r="12" spans="1:6">
      <c r="A12" s="714"/>
      <c r="B12" s="713"/>
      <c r="C12" s="712"/>
      <c r="D12" s="710"/>
      <c r="E12" s="707"/>
      <c r="F12" s="582"/>
    </row>
    <row r="13" spans="1:6">
      <c r="A13" s="714"/>
      <c r="B13" s="713"/>
      <c r="C13" s="712"/>
      <c r="D13" s="710"/>
      <c r="E13" s="708"/>
      <c r="F13" s="582"/>
    </row>
    <row r="14" spans="1:6">
      <c r="A14" s="714" t="s">
        <v>3522</v>
      </c>
      <c r="B14" s="713" t="s">
        <v>3523</v>
      </c>
      <c r="C14" s="711">
        <v>3.0729166666666665E-2</v>
      </c>
      <c r="D14" s="710" t="s">
        <v>3524</v>
      </c>
      <c r="E14" s="706" t="s">
        <v>3525</v>
      </c>
      <c r="F14" s="582" t="s">
        <v>3509</v>
      </c>
    </row>
    <row r="15" spans="1:6">
      <c r="A15" s="714"/>
      <c r="B15" s="713"/>
      <c r="C15" s="712"/>
      <c r="D15" s="710"/>
      <c r="E15" s="707"/>
      <c r="F15" s="582"/>
    </row>
    <row r="16" spans="1:6">
      <c r="A16" s="714"/>
      <c r="B16" s="713"/>
      <c r="C16" s="712"/>
      <c r="D16" s="710"/>
      <c r="E16" s="708"/>
      <c r="F16" s="582"/>
    </row>
    <row r="17" spans="1:6">
      <c r="A17" s="714" t="s">
        <v>3526</v>
      </c>
      <c r="B17" s="713" t="s">
        <v>3527</v>
      </c>
      <c r="C17" s="711">
        <v>3.1064814814814816E-2</v>
      </c>
      <c r="D17" s="710" t="s">
        <v>3528</v>
      </c>
      <c r="E17" s="706" t="s">
        <v>3529</v>
      </c>
      <c r="F17" s="582" t="s">
        <v>3509</v>
      </c>
    </row>
    <row r="18" spans="1:6">
      <c r="A18" s="714"/>
      <c r="B18" s="713"/>
      <c r="C18" s="712"/>
      <c r="D18" s="710"/>
      <c r="E18" s="707"/>
      <c r="F18" s="582"/>
    </row>
    <row r="19" spans="1:6">
      <c r="A19" s="714"/>
      <c r="B19" s="713"/>
      <c r="C19" s="712"/>
      <c r="D19" s="710"/>
      <c r="E19" s="708"/>
      <c r="F19" s="582"/>
    </row>
    <row r="20" spans="1:6">
      <c r="A20" s="714" t="s">
        <v>3530</v>
      </c>
      <c r="B20" s="713" t="s">
        <v>3531</v>
      </c>
      <c r="C20" s="711">
        <v>3.0995370370370371E-2</v>
      </c>
      <c r="D20" s="710" t="s">
        <v>3532</v>
      </c>
      <c r="E20" s="706" t="s">
        <v>3533</v>
      </c>
      <c r="F20" s="582" t="s">
        <v>3509</v>
      </c>
    </row>
    <row r="21" spans="1:6">
      <c r="A21" s="714"/>
      <c r="B21" s="713"/>
      <c r="C21" s="712"/>
      <c r="D21" s="710"/>
      <c r="E21" s="707"/>
      <c r="F21" s="582"/>
    </row>
    <row r="22" spans="1:6">
      <c r="A22" s="714"/>
      <c r="B22" s="713"/>
      <c r="C22" s="712"/>
      <c r="D22" s="710"/>
      <c r="E22" s="708"/>
      <c r="F22" s="582"/>
    </row>
    <row r="23" spans="1:6" ht="15" customHeight="1">
      <c r="A23" s="714" t="s">
        <v>3534</v>
      </c>
      <c r="B23" s="713" t="s">
        <v>3535</v>
      </c>
      <c r="C23" s="711">
        <v>3.0833333333333334E-2</v>
      </c>
      <c r="D23" s="710" t="s">
        <v>3536</v>
      </c>
      <c r="E23" s="706" t="s">
        <v>3537</v>
      </c>
      <c r="F23" s="582" t="s">
        <v>3509</v>
      </c>
    </row>
    <row r="24" spans="1:6" ht="15" customHeight="1">
      <c r="A24" s="714"/>
      <c r="B24" s="713"/>
      <c r="C24" s="712"/>
      <c r="D24" s="710"/>
      <c r="E24" s="707"/>
      <c r="F24" s="582"/>
    </row>
    <row r="25" spans="1:6" ht="15" customHeight="1">
      <c r="A25" s="714"/>
      <c r="B25" s="713"/>
      <c r="C25" s="712"/>
      <c r="D25" s="710"/>
      <c r="E25" s="708"/>
      <c r="F25" s="582"/>
    </row>
    <row r="26" spans="1:6" ht="15" customHeight="1">
      <c r="A26" s="714" t="s">
        <v>3538</v>
      </c>
      <c r="B26" s="713" t="s">
        <v>3539</v>
      </c>
      <c r="C26" s="711">
        <v>3.1215277777777779E-2</v>
      </c>
      <c r="D26" s="710" t="s">
        <v>3540</v>
      </c>
      <c r="E26" s="706" t="s">
        <v>3541</v>
      </c>
      <c r="F26" s="582" t="s">
        <v>3509</v>
      </c>
    </row>
    <row r="27" spans="1:6" ht="15" customHeight="1">
      <c r="A27" s="714"/>
      <c r="B27" s="713"/>
      <c r="C27" s="712"/>
      <c r="D27" s="710"/>
      <c r="E27" s="707"/>
      <c r="F27" s="582"/>
    </row>
    <row r="28" spans="1:6" ht="15" customHeight="1">
      <c r="A28" s="714"/>
      <c r="B28" s="713"/>
      <c r="C28" s="712"/>
      <c r="D28" s="710"/>
      <c r="E28" s="708"/>
      <c r="F28" s="582"/>
    </row>
    <row r="29" spans="1:6" ht="15" customHeight="1">
      <c r="A29" s="714" t="s">
        <v>3542</v>
      </c>
      <c r="B29" s="713" t="s">
        <v>3543</v>
      </c>
      <c r="C29" s="711">
        <v>3.1192129629629629E-2</v>
      </c>
      <c r="D29" s="710" t="s">
        <v>3544</v>
      </c>
      <c r="E29" s="706" t="s">
        <v>3545</v>
      </c>
      <c r="F29" s="582" t="s">
        <v>3509</v>
      </c>
    </row>
    <row r="30" spans="1:6" ht="15" customHeight="1">
      <c r="A30" s="714"/>
      <c r="B30" s="713"/>
      <c r="C30" s="712"/>
      <c r="D30" s="710"/>
      <c r="E30" s="707"/>
      <c r="F30" s="582"/>
    </row>
    <row r="31" spans="1:6" ht="15" customHeight="1">
      <c r="A31" s="714"/>
      <c r="B31" s="713"/>
      <c r="C31" s="712"/>
      <c r="D31" s="710"/>
      <c r="E31" s="708"/>
      <c r="F31" s="582"/>
    </row>
    <row r="32" spans="1:6" ht="15.75" customHeight="1">
      <c r="A32" s="714" t="s">
        <v>3546</v>
      </c>
      <c r="B32" s="713" t="s">
        <v>3547</v>
      </c>
      <c r="C32" s="711">
        <v>3.1145833333333334E-2</v>
      </c>
      <c r="D32" s="710" t="s">
        <v>3548</v>
      </c>
      <c r="E32" s="706" t="s">
        <v>3549</v>
      </c>
      <c r="F32" s="709" t="s">
        <v>3509</v>
      </c>
    </row>
    <row r="33" spans="1:6" ht="15.75" customHeight="1">
      <c r="A33" s="714"/>
      <c r="B33" s="713"/>
      <c r="C33" s="712"/>
      <c r="D33" s="710"/>
      <c r="E33" s="707"/>
      <c r="F33" s="709"/>
    </row>
    <row r="34" spans="1:6" ht="15.75" customHeight="1">
      <c r="A34" s="714"/>
      <c r="B34" s="713"/>
      <c r="C34" s="712"/>
      <c r="D34" s="710"/>
      <c r="E34" s="708"/>
      <c r="F34" s="709"/>
    </row>
    <row r="35" spans="1:6" ht="15" customHeight="1">
      <c r="A35" s="714" t="s">
        <v>3550</v>
      </c>
      <c r="B35" s="713" t="s">
        <v>3551</v>
      </c>
      <c r="C35" s="711">
        <v>3.0972222222222224E-2</v>
      </c>
      <c r="D35" s="710" t="s">
        <v>3552</v>
      </c>
      <c r="E35" s="706" t="s">
        <v>3553</v>
      </c>
      <c r="F35" s="709" t="s">
        <v>3509</v>
      </c>
    </row>
    <row r="36" spans="1:6" ht="15.75" customHeight="1">
      <c r="A36" s="714"/>
      <c r="B36" s="713"/>
      <c r="C36" s="712"/>
      <c r="D36" s="710"/>
      <c r="E36" s="707"/>
      <c r="F36" s="709"/>
    </row>
    <row r="37" spans="1:6" ht="15.75" customHeight="1">
      <c r="A37" s="714"/>
      <c r="B37" s="713"/>
      <c r="C37" s="712"/>
      <c r="D37" s="710"/>
      <c r="E37" s="708"/>
      <c r="F37" s="709"/>
    </row>
    <row r="38" spans="1:6" ht="15" customHeight="1">
      <c r="A38" s="714" t="s">
        <v>3554</v>
      </c>
      <c r="B38" s="713" t="s">
        <v>3555</v>
      </c>
      <c r="C38" s="711">
        <v>3.0983796296296297E-2</v>
      </c>
      <c r="D38" s="710" t="s">
        <v>3556</v>
      </c>
      <c r="E38" s="706" t="s">
        <v>3557</v>
      </c>
      <c r="F38" s="709" t="s">
        <v>3509</v>
      </c>
    </row>
    <row r="39" spans="1:6" ht="15" customHeight="1">
      <c r="A39" s="714"/>
      <c r="B39" s="713"/>
      <c r="C39" s="712"/>
      <c r="D39" s="710"/>
      <c r="E39" s="707"/>
      <c r="F39" s="709"/>
    </row>
    <row r="40" spans="1:6" ht="15" customHeight="1">
      <c r="A40" s="714"/>
      <c r="B40" s="713"/>
      <c r="C40" s="712"/>
      <c r="D40" s="710"/>
      <c r="E40" s="708"/>
      <c r="F40" s="709"/>
    </row>
  </sheetData>
  <mergeCells count="78">
    <mergeCell ref="A29:A31"/>
    <mergeCell ref="A32:A34"/>
    <mergeCell ref="A35:A37"/>
    <mergeCell ref="A2:A4"/>
    <mergeCell ref="A5:A7"/>
    <mergeCell ref="A8:A10"/>
    <mergeCell ref="A11:A13"/>
    <mergeCell ref="A14:A16"/>
    <mergeCell ref="A17:A19"/>
    <mergeCell ref="C2:C4"/>
    <mergeCell ref="C14:C16"/>
    <mergeCell ref="C26:C28"/>
    <mergeCell ref="A38:A40"/>
    <mergeCell ref="B2:B4"/>
    <mergeCell ref="B5:B7"/>
    <mergeCell ref="B8:B10"/>
    <mergeCell ref="B11:B13"/>
    <mergeCell ref="B14:B16"/>
    <mergeCell ref="B17:B19"/>
    <mergeCell ref="B20:B22"/>
    <mergeCell ref="B23:B25"/>
    <mergeCell ref="B26:B28"/>
    <mergeCell ref="A20:A22"/>
    <mergeCell ref="A23:A25"/>
    <mergeCell ref="A26:A28"/>
    <mergeCell ref="B29:B31"/>
    <mergeCell ref="B32:B34"/>
    <mergeCell ref="B35:B37"/>
    <mergeCell ref="B38:B40"/>
    <mergeCell ref="C38:C40"/>
    <mergeCell ref="C29:C31"/>
    <mergeCell ref="C32:C34"/>
    <mergeCell ref="C35:C37"/>
    <mergeCell ref="D2:D4"/>
    <mergeCell ref="D29:D31"/>
    <mergeCell ref="D32:D34"/>
    <mergeCell ref="D35:D37"/>
    <mergeCell ref="C17:C19"/>
    <mergeCell ref="D17:D19"/>
    <mergeCell ref="C20:C22"/>
    <mergeCell ref="D20:D22"/>
    <mergeCell ref="C23:C25"/>
    <mergeCell ref="D23:D25"/>
    <mergeCell ref="C5:C7"/>
    <mergeCell ref="D5:D7"/>
    <mergeCell ref="C8:C10"/>
    <mergeCell ref="D8:D10"/>
    <mergeCell ref="C11:C13"/>
    <mergeCell ref="D11:D13"/>
    <mergeCell ref="F14:F16"/>
    <mergeCell ref="D38:D40"/>
    <mergeCell ref="E5:E7"/>
    <mergeCell ref="E8:E10"/>
    <mergeCell ref="E11:E13"/>
    <mergeCell ref="E14:E16"/>
    <mergeCell ref="E17:E19"/>
    <mergeCell ref="E20:E22"/>
    <mergeCell ref="E23:E25"/>
    <mergeCell ref="D26:D28"/>
    <mergeCell ref="D14:D16"/>
    <mergeCell ref="E29:E31"/>
    <mergeCell ref="E26:E28"/>
    <mergeCell ref="E2:E4"/>
    <mergeCell ref="E32:E34"/>
    <mergeCell ref="E35:E37"/>
    <mergeCell ref="E38:E40"/>
    <mergeCell ref="F32:F34"/>
    <mergeCell ref="F35:F37"/>
    <mergeCell ref="F38:F40"/>
    <mergeCell ref="F17:F19"/>
    <mergeCell ref="F20:F22"/>
    <mergeCell ref="F23:F25"/>
    <mergeCell ref="F26:F28"/>
    <mergeCell ref="F29:F31"/>
    <mergeCell ref="F2:F4"/>
    <mergeCell ref="F5:F7"/>
    <mergeCell ref="F8:F10"/>
    <mergeCell ref="F11:F13"/>
  </mergeCells>
  <hyperlinks>
    <hyperlink ref="E2:E4" r:id="rId1" display="https://youtu.be/7VFatHn2_6M" xr:uid="{C7A124C9-4843-48A6-985F-F72518183904}"/>
    <hyperlink ref="E5:E7" r:id="rId2" display="https://youtu.be/7910pqXDncA" xr:uid="{F7D5B434-C19A-4BBC-8741-0FA2EE5C2A8D}"/>
    <hyperlink ref="E8:E10" r:id="rId3" display="https://youtu.be/PDvOG5yg9UQ" xr:uid="{0005B617-623A-447B-B108-F06AF040B235}"/>
    <hyperlink ref="E11:E13" r:id="rId4" display="https://youtu.be/sm99pV6zXOY" xr:uid="{3E56626D-4869-473C-ACCD-6EDD303CCD5B}"/>
    <hyperlink ref="E14:E16" r:id="rId5" display="https://youtu.be/DD57NZJVyX4" xr:uid="{FA10675B-2D11-4CEF-9963-A12E09AB7DCA}"/>
    <hyperlink ref="E17:E19" r:id="rId6" display="https://youtu.be/oLKdX7vxhMo" xr:uid="{361DC469-98C3-4510-839A-858ABCEC1CD9}"/>
    <hyperlink ref="E20:E22" r:id="rId7" display="https://youtu.be/Fzc2aGIAGFs" xr:uid="{EF3E9998-87A5-4C91-B39A-43A1E87A8E44}"/>
    <hyperlink ref="E23:E25" r:id="rId8" display="https://youtu.be/d9yq1KVc1vE" xr:uid="{BAF2B156-7AA2-4A64-B141-8EF6070ED316}"/>
    <hyperlink ref="E26:E28" r:id="rId9" display="https://youtu.be/W2Mdy_oox1o" xr:uid="{33F9EEB7-0A35-44CA-9D3C-8840520E7AF1}"/>
    <hyperlink ref="E29:E31" r:id="rId10" display="https://youtu.be/b2mRlLOrGLY" xr:uid="{065C92AD-B18F-4D60-8AB6-3169D2CCC621}"/>
    <hyperlink ref="E32:E34" r:id="rId11" display="https://youtu.be/huNyTWmg78o" xr:uid="{64487258-FCBC-4D13-AF9F-9FEE3B925D39}"/>
    <hyperlink ref="E35:E37" r:id="rId12" display="https://youtu.be/LZ3LVdaBDFg" xr:uid="{FB6CF3CB-7EB1-4B53-B0F2-A08F3B57440B}"/>
    <hyperlink ref="E38:E40" r:id="rId13" display="https://youtu.be/5QfqzH9OAec" xr:uid="{0EAD74E4-982E-486A-964F-10CFC941BC3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F7843-A069-432A-9686-58CA58F313F9}">
  <dimension ref="A1:R33"/>
  <sheetViews>
    <sheetView workbookViewId="0">
      <pane xSplit="3" topLeftCell="D27" activePane="topRight" state="frozen"/>
      <selection pane="topRight" activeCell="K31" sqref="K31:K45"/>
    </sheetView>
  </sheetViews>
  <sheetFormatPr defaultRowHeight="15"/>
  <cols>
    <col min="1" max="1" width="20.28515625" customWidth="1"/>
    <col min="3" max="3" width="7" customWidth="1"/>
    <col min="4" max="4" width="78.42578125" bestFit="1" customWidth="1"/>
    <col min="5" max="5" width="22.7109375" customWidth="1"/>
    <col min="6" max="6" width="10.28515625" customWidth="1"/>
    <col min="10" max="10" width="13.28515625" style="245" customWidth="1"/>
    <col min="11" max="11" width="30.7109375" style="324" customWidth="1"/>
    <col min="13" max="13" width="18.7109375" style="245" customWidth="1"/>
    <col min="14" max="14" width="32.5703125" style="324" customWidth="1"/>
  </cols>
  <sheetData>
    <row r="1" spans="1:17" ht="24.75">
      <c r="A1" s="247" t="s">
        <v>1</v>
      </c>
      <c r="B1" s="253" t="s">
        <v>172</v>
      </c>
      <c r="C1" s="249" t="s">
        <v>173</v>
      </c>
      <c r="D1" s="253" t="s">
        <v>174</v>
      </c>
      <c r="E1" s="249" t="s">
        <v>175</v>
      </c>
      <c r="F1" s="253" t="s">
        <v>176</v>
      </c>
      <c r="G1" s="249" t="s">
        <v>177</v>
      </c>
      <c r="H1" s="253" t="s">
        <v>178</v>
      </c>
      <c r="I1" s="249" t="s">
        <v>179</v>
      </c>
      <c r="J1" s="249" t="s">
        <v>3558</v>
      </c>
      <c r="K1" s="249" t="s">
        <v>3559</v>
      </c>
      <c r="L1" s="253" t="s">
        <v>181</v>
      </c>
      <c r="M1" s="516" t="s">
        <v>3560</v>
      </c>
      <c r="N1" s="516" t="s">
        <v>3561</v>
      </c>
      <c r="O1" s="249" t="s">
        <v>182</v>
      </c>
      <c r="P1" s="248" t="s">
        <v>3</v>
      </c>
    </row>
    <row r="2" spans="1:17">
      <c r="A2" s="715" t="s">
        <v>3562</v>
      </c>
      <c r="B2" s="250"/>
      <c r="C2" s="251">
        <v>1</v>
      </c>
      <c r="D2" s="252" t="s">
        <v>3563</v>
      </c>
      <c r="E2" s="250"/>
      <c r="F2" s="250"/>
      <c r="G2" s="257" t="s">
        <v>187</v>
      </c>
      <c r="H2" s="250"/>
      <c r="I2" s="250"/>
      <c r="J2" s="518" t="s">
        <v>3564</v>
      </c>
      <c r="K2" s="521" t="s">
        <v>3565</v>
      </c>
      <c r="L2" s="346">
        <v>0.67569444444444449</v>
      </c>
      <c r="M2" s="518" t="s">
        <v>3566</v>
      </c>
      <c r="N2" s="519" t="s">
        <v>3567</v>
      </c>
      <c r="O2" s="250"/>
      <c r="P2" s="250"/>
      <c r="Q2" s="245"/>
    </row>
    <row r="3" spans="1:17">
      <c r="A3" s="716"/>
      <c r="B3" s="250"/>
      <c r="C3" s="254">
        <v>2</v>
      </c>
      <c r="D3" s="252" t="s">
        <v>3568</v>
      </c>
      <c r="E3" s="250"/>
      <c r="F3" s="250"/>
      <c r="G3" s="257" t="s">
        <v>187</v>
      </c>
      <c r="H3" s="250"/>
      <c r="I3" s="250"/>
      <c r="J3" s="517" t="s">
        <v>3569</v>
      </c>
      <c r="K3" s="522" t="s">
        <v>3570</v>
      </c>
      <c r="L3" s="250"/>
      <c r="M3" s="517" t="s">
        <v>3571</v>
      </c>
      <c r="N3" s="520" t="s">
        <v>3572</v>
      </c>
      <c r="O3" s="250"/>
      <c r="P3" s="250"/>
      <c r="Q3" s="245"/>
    </row>
    <row r="4" spans="1:17">
      <c r="A4" s="716"/>
      <c r="B4" s="250"/>
      <c r="C4" s="254">
        <v>3</v>
      </c>
      <c r="D4" s="258" t="s">
        <v>3573</v>
      </c>
      <c r="E4" s="250"/>
      <c r="F4" s="250"/>
      <c r="G4" s="257" t="s">
        <v>187</v>
      </c>
      <c r="H4" s="250"/>
      <c r="I4" s="250"/>
      <c r="J4" s="517" t="s">
        <v>3574</v>
      </c>
      <c r="K4" s="522" t="s">
        <v>3575</v>
      </c>
      <c r="L4" s="346">
        <v>0.39791666666666664</v>
      </c>
      <c r="M4" s="517" t="s">
        <v>3576</v>
      </c>
      <c r="N4" s="520" t="s">
        <v>3577</v>
      </c>
      <c r="O4" s="250"/>
      <c r="P4" s="250"/>
      <c r="Q4" s="245"/>
    </row>
    <row r="5" spans="1:17">
      <c r="A5" s="716"/>
      <c r="B5" s="250"/>
      <c r="C5" s="260">
        <v>4</v>
      </c>
      <c r="D5" s="259" t="s">
        <v>3578</v>
      </c>
      <c r="E5" s="261"/>
      <c r="F5" s="250"/>
      <c r="G5" s="257" t="s">
        <v>187</v>
      </c>
      <c r="H5" s="250"/>
      <c r="I5" s="250"/>
      <c r="J5" s="517" t="s">
        <v>3579</v>
      </c>
      <c r="K5" s="522" t="s">
        <v>3580</v>
      </c>
      <c r="L5" s="345"/>
      <c r="M5" s="517" t="s">
        <v>3581</v>
      </c>
      <c r="N5" s="520" t="s">
        <v>3582</v>
      </c>
      <c r="O5" s="250"/>
      <c r="P5" s="250"/>
      <c r="Q5" s="245"/>
    </row>
    <row r="6" spans="1:17">
      <c r="A6" s="716"/>
      <c r="B6" s="250"/>
      <c r="C6" s="260">
        <v>5</v>
      </c>
      <c r="D6" s="259" t="s">
        <v>3583</v>
      </c>
      <c r="E6" s="261"/>
      <c r="F6" s="250"/>
      <c r="G6" s="257"/>
      <c r="H6" s="250"/>
      <c r="I6" s="250"/>
      <c r="J6" s="517" t="s">
        <v>3584</v>
      </c>
      <c r="K6" s="522" t="s">
        <v>3585</v>
      </c>
      <c r="L6" s="346">
        <v>0.87430555555555556</v>
      </c>
      <c r="M6" s="517" t="s">
        <v>3586</v>
      </c>
      <c r="N6" s="520" t="s">
        <v>3587</v>
      </c>
      <c r="O6" s="250"/>
      <c r="P6" s="250"/>
      <c r="Q6" s="245"/>
    </row>
    <row r="7" spans="1:17">
      <c r="A7" s="716"/>
      <c r="B7" s="250"/>
      <c r="C7" s="260">
        <v>6</v>
      </c>
      <c r="D7" s="259" t="s">
        <v>3588</v>
      </c>
      <c r="E7" s="261"/>
      <c r="F7" s="250"/>
      <c r="G7" s="257"/>
      <c r="H7" s="250"/>
      <c r="I7" s="250"/>
      <c r="J7" s="517" t="s">
        <v>3589</v>
      </c>
      <c r="K7" s="522" t="s">
        <v>3590</v>
      </c>
      <c r="L7" s="250"/>
      <c r="M7" s="517" t="s">
        <v>3591</v>
      </c>
      <c r="N7" s="520" t="s">
        <v>3592</v>
      </c>
      <c r="O7" s="250"/>
      <c r="P7" s="250"/>
      <c r="Q7" s="245"/>
    </row>
    <row r="8" spans="1:17">
      <c r="A8" s="716"/>
      <c r="B8" s="250"/>
      <c r="C8" s="254">
        <v>7</v>
      </c>
      <c r="D8" s="262" t="s">
        <v>3593</v>
      </c>
      <c r="E8" s="250"/>
      <c r="F8" s="250"/>
      <c r="G8" s="257"/>
      <c r="H8" s="250"/>
      <c r="I8" s="250"/>
      <c r="J8" s="517" t="s">
        <v>3594</v>
      </c>
      <c r="K8" s="522" t="s">
        <v>3595</v>
      </c>
      <c r="L8" s="250"/>
      <c r="M8" s="517" t="s">
        <v>3596</v>
      </c>
      <c r="N8" s="520" t="s">
        <v>3597</v>
      </c>
      <c r="O8" s="250"/>
      <c r="P8" s="250"/>
      <c r="Q8" s="245"/>
    </row>
    <row r="9" spans="1:17">
      <c r="A9" s="716"/>
      <c r="B9" s="250"/>
      <c r="C9" s="254">
        <v>8</v>
      </c>
      <c r="D9" s="252" t="s">
        <v>3598</v>
      </c>
      <c r="E9" s="250"/>
      <c r="F9" s="250"/>
      <c r="G9" s="257" t="s">
        <v>187</v>
      </c>
      <c r="H9" s="250"/>
      <c r="I9" s="250"/>
      <c r="J9" s="517" t="s">
        <v>3599</v>
      </c>
      <c r="K9" s="522" t="s">
        <v>3600</v>
      </c>
      <c r="L9" s="250"/>
      <c r="M9" s="517" t="s">
        <v>3601</v>
      </c>
      <c r="N9" s="520" t="s">
        <v>3602</v>
      </c>
      <c r="O9" s="250"/>
      <c r="P9" s="250"/>
      <c r="Q9" s="245"/>
    </row>
    <row r="10" spans="1:17" ht="16.5" customHeight="1">
      <c r="A10" s="716"/>
      <c r="B10" s="250"/>
      <c r="C10" s="254">
        <v>9</v>
      </c>
      <c r="D10" s="252" t="s">
        <v>3603</v>
      </c>
      <c r="E10" s="250"/>
      <c r="F10" s="250"/>
      <c r="G10" s="257" t="s">
        <v>187</v>
      </c>
      <c r="H10" s="250"/>
      <c r="I10" s="250"/>
      <c r="J10" s="517" t="s">
        <v>3604</v>
      </c>
      <c r="K10" s="522" t="s">
        <v>3605</v>
      </c>
      <c r="L10" s="250"/>
      <c r="M10" s="517" t="s">
        <v>3606</v>
      </c>
      <c r="N10" s="520" t="s">
        <v>3607</v>
      </c>
      <c r="O10" s="250"/>
      <c r="P10" s="250"/>
      <c r="Q10" s="245"/>
    </row>
    <row r="11" spans="1:17">
      <c r="A11" s="716"/>
      <c r="B11" s="250"/>
      <c r="C11" s="254">
        <v>10</v>
      </c>
      <c r="D11" s="258" t="s">
        <v>3608</v>
      </c>
      <c r="E11" s="250"/>
      <c r="F11" s="250"/>
      <c r="G11" s="257" t="s">
        <v>187</v>
      </c>
      <c r="H11" s="250"/>
      <c r="I11" s="250"/>
      <c r="J11" s="517" t="s">
        <v>3609</v>
      </c>
      <c r="K11" s="522" t="s">
        <v>3610</v>
      </c>
      <c r="L11" s="250"/>
      <c r="M11" s="517" t="s">
        <v>3611</v>
      </c>
      <c r="N11" s="520" t="s">
        <v>3612</v>
      </c>
      <c r="O11" s="250"/>
      <c r="P11" s="250"/>
      <c r="Q11" s="245"/>
    </row>
    <row r="12" spans="1:17">
      <c r="A12" s="716"/>
      <c r="B12" s="250"/>
      <c r="C12" s="254">
        <v>11</v>
      </c>
      <c r="D12" s="252" t="s">
        <v>3613</v>
      </c>
      <c r="E12" s="250"/>
      <c r="F12" s="250"/>
      <c r="G12" s="257" t="s">
        <v>187</v>
      </c>
      <c r="H12" s="250"/>
      <c r="I12" s="250"/>
      <c r="J12" s="517" t="s">
        <v>3614</v>
      </c>
      <c r="K12" s="522" t="s">
        <v>3615</v>
      </c>
      <c r="L12" s="250"/>
      <c r="M12" s="517" t="s">
        <v>3616</v>
      </c>
      <c r="N12" s="520" t="s">
        <v>3617</v>
      </c>
      <c r="O12" s="250"/>
      <c r="P12" s="250"/>
      <c r="Q12" s="245"/>
    </row>
    <row r="13" spans="1:17">
      <c r="A13" s="716"/>
      <c r="B13" s="250"/>
      <c r="C13" s="254">
        <v>12</v>
      </c>
      <c r="D13" s="252" t="s">
        <v>3618</v>
      </c>
      <c r="E13" s="250"/>
      <c r="F13" s="250"/>
      <c r="G13" s="257" t="s">
        <v>187</v>
      </c>
      <c r="H13" s="250"/>
      <c r="I13" s="250"/>
      <c r="J13" s="517" t="s">
        <v>3619</v>
      </c>
      <c r="K13" s="522" t="s">
        <v>3620</v>
      </c>
      <c r="L13" s="250"/>
      <c r="M13" s="517" t="s">
        <v>3621</v>
      </c>
      <c r="N13" s="520" t="s">
        <v>3622</v>
      </c>
      <c r="O13" s="250"/>
      <c r="P13" s="250"/>
      <c r="Q13" s="245"/>
    </row>
    <row r="14" spans="1:17">
      <c r="A14" s="716"/>
      <c r="B14" s="250"/>
      <c r="C14" s="254">
        <v>13</v>
      </c>
      <c r="D14" s="252" t="s">
        <v>3623</v>
      </c>
      <c r="E14" s="250"/>
      <c r="F14" s="250"/>
      <c r="G14" s="257" t="s">
        <v>187</v>
      </c>
      <c r="H14" s="250"/>
      <c r="I14" s="250"/>
      <c r="J14" s="517" t="s">
        <v>3624</v>
      </c>
      <c r="K14" s="522" t="s">
        <v>3625</v>
      </c>
      <c r="L14" s="250"/>
      <c r="M14" s="517" t="s">
        <v>3626</v>
      </c>
      <c r="N14" s="520" t="s">
        <v>3627</v>
      </c>
      <c r="O14" s="250"/>
      <c r="P14" s="250"/>
      <c r="Q14" s="245"/>
    </row>
    <row r="15" spans="1:17">
      <c r="A15" s="716"/>
      <c r="B15" s="250"/>
      <c r="C15" s="254">
        <v>14</v>
      </c>
      <c r="D15" s="252" t="s">
        <v>3628</v>
      </c>
      <c r="E15" s="250"/>
      <c r="F15" s="250"/>
      <c r="G15" s="257" t="s">
        <v>187</v>
      </c>
      <c r="H15" s="250"/>
      <c r="I15" s="250"/>
      <c r="J15" s="517" t="s">
        <v>3629</v>
      </c>
      <c r="K15" s="522" t="s">
        <v>3630</v>
      </c>
      <c r="L15" s="250"/>
      <c r="M15" s="517" t="s">
        <v>3631</v>
      </c>
      <c r="N15" s="520" t="s">
        <v>3632</v>
      </c>
      <c r="O15" s="250"/>
      <c r="P15" s="250"/>
      <c r="Q15" s="245"/>
    </row>
    <row r="16" spans="1:17">
      <c r="A16" s="716"/>
      <c r="B16" s="250"/>
      <c r="C16" s="254">
        <v>15</v>
      </c>
      <c r="D16" s="252" t="s">
        <v>3633</v>
      </c>
      <c r="E16" s="250"/>
      <c r="F16" s="250"/>
      <c r="G16" s="257" t="s">
        <v>187</v>
      </c>
      <c r="H16" s="250"/>
      <c r="I16" s="250"/>
      <c r="J16" s="517" t="s">
        <v>3634</v>
      </c>
      <c r="K16" s="522" t="s">
        <v>3635</v>
      </c>
      <c r="L16" s="250"/>
      <c r="M16" s="517" t="s">
        <v>3636</v>
      </c>
      <c r="N16" s="520" t="s">
        <v>3637</v>
      </c>
      <c r="O16" s="250"/>
      <c r="P16" s="250"/>
      <c r="Q16" s="245"/>
    </row>
    <row r="17" spans="1:18">
      <c r="A17" s="716"/>
      <c r="B17" s="250"/>
      <c r="C17" s="254">
        <v>16</v>
      </c>
      <c r="D17" s="252" t="s">
        <v>3638</v>
      </c>
      <c r="E17" s="250"/>
      <c r="F17" s="250"/>
      <c r="G17" s="257" t="s">
        <v>187</v>
      </c>
      <c r="H17" s="250"/>
      <c r="I17" s="250"/>
      <c r="J17" s="517" t="s">
        <v>3639</v>
      </c>
      <c r="K17" s="522" t="s">
        <v>3640</v>
      </c>
      <c r="L17" s="250"/>
      <c r="M17" s="517" t="s">
        <v>3641</v>
      </c>
      <c r="N17" s="520" t="s">
        <v>3642</v>
      </c>
      <c r="O17" s="250"/>
      <c r="P17" s="250"/>
      <c r="Q17" s="245"/>
    </row>
    <row r="18" spans="1:18">
      <c r="A18" s="716"/>
      <c r="B18" s="250"/>
      <c r="C18" s="254">
        <v>17</v>
      </c>
      <c r="D18" s="252" t="s">
        <v>3643</v>
      </c>
      <c r="E18" s="250"/>
      <c r="F18" s="250"/>
      <c r="G18" s="257" t="s">
        <v>187</v>
      </c>
      <c r="H18" s="250"/>
      <c r="I18" s="250"/>
      <c r="J18" s="517" t="s">
        <v>3644</v>
      </c>
      <c r="K18" s="522" t="s">
        <v>3645</v>
      </c>
      <c r="L18" s="250"/>
      <c r="M18" s="517" t="s">
        <v>3646</v>
      </c>
      <c r="N18" s="520" t="s">
        <v>3647</v>
      </c>
      <c r="O18" s="251"/>
      <c r="P18" s="250"/>
      <c r="Q18" s="245"/>
    </row>
    <row r="19" spans="1:18">
      <c r="A19" s="716"/>
      <c r="B19" s="250"/>
      <c r="C19" s="254">
        <v>18</v>
      </c>
      <c r="D19" s="252" t="s">
        <v>3648</v>
      </c>
      <c r="E19" s="250"/>
      <c r="F19" s="250"/>
      <c r="G19" s="257" t="s">
        <v>187</v>
      </c>
      <c r="H19" s="250"/>
      <c r="I19" s="250"/>
      <c r="J19" s="517" t="s">
        <v>3649</v>
      </c>
      <c r="K19" s="522" t="s">
        <v>3650</v>
      </c>
      <c r="L19" s="250"/>
      <c r="M19" s="517" t="s">
        <v>3651</v>
      </c>
      <c r="N19" s="520" t="s">
        <v>3652</v>
      </c>
      <c r="O19" s="250"/>
      <c r="P19" s="250"/>
      <c r="Q19" s="245"/>
    </row>
    <row r="20" spans="1:18">
      <c r="A20" s="716"/>
      <c r="B20" s="250"/>
      <c r="C20" s="254">
        <v>19</v>
      </c>
      <c r="D20" s="252" t="s">
        <v>3653</v>
      </c>
      <c r="E20" s="250"/>
      <c r="F20" s="250"/>
      <c r="G20" s="257" t="s">
        <v>187</v>
      </c>
      <c r="H20" s="250"/>
      <c r="I20" s="250"/>
      <c r="J20" s="517" t="s">
        <v>3654</v>
      </c>
      <c r="K20" s="522" t="s">
        <v>3655</v>
      </c>
      <c r="L20" s="250"/>
      <c r="M20" s="517" t="s">
        <v>3656</v>
      </c>
      <c r="N20" s="520" t="s">
        <v>3657</v>
      </c>
      <c r="O20" s="250"/>
      <c r="P20" s="250"/>
      <c r="Q20" s="245"/>
    </row>
    <row r="21" spans="1:18">
      <c r="A21" s="716"/>
      <c r="B21" s="250"/>
      <c r="C21" s="254">
        <v>20</v>
      </c>
      <c r="D21" s="252" t="s">
        <v>3658</v>
      </c>
      <c r="E21" s="250"/>
      <c r="F21" s="250"/>
      <c r="G21" s="257" t="s">
        <v>187</v>
      </c>
      <c r="H21" s="250"/>
      <c r="I21" s="250"/>
      <c r="J21" s="517" t="s">
        <v>3659</v>
      </c>
      <c r="K21" s="522" t="s">
        <v>3660</v>
      </c>
      <c r="L21" s="250"/>
      <c r="M21" s="517" t="s">
        <v>3661</v>
      </c>
      <c r="N21" s="520" t="s">
        <v>3662</v>
      </c>
      <c r="O21" s="250"/>
      <c r="P21" s="250"/>
      <c r="Q21" s="245"/>
    </row>
    <row r="22" spans="1:18">
      <c r="A22" s="716"/>
      <c r="B22" s="250"/>
      <c r="C22" s="254">
        <v>21</v>
      </c>
      <c r="D22" s="252" t="s">
        <v>3663</v>
      </c>
      <c r="E22" s="60"/>
      <c r="F22" s="250"/>
      <c r="G22" s="257" t="s">
        <v>187</v>
      </c>
      <c r="H22" s="250"/>
      <c r="I22" s="250"/>
      <c r="J22" s="517" t="s">
        <v>3664</v>
      </c>
      <c r="K22" s="522" t="s">
        <v>3665</v>
      </c>
      <c r="L22" s="250"/>
      <c r="M22" s="517" t="s">
        <v>3666</v>
      </c>
      <c r="N22" s="520" t="s">
        <v>3667</v>
      </c>
      <c r="O22" s="250"/>
      <c r="P22" s="250"/>
      <c r="Q22" s="245"/>
    </row>
    <row r="23" spans="1:18">
      <c r="A23" s="716"/>
      <c r="B23" s="250"/>
      <c r="C23" s="254">
        <v>22</v>
      </c>
      <c r="D23" s="252" t="s">
        <v>3668</v>
      </c>
      <c r="E23" s="250"/>
      <c r="F23" s="250"/>
      <c r="G23" s="257" t="s">
        <v>187</v>
      </c>
      <c r="H23" s="250"/>
      <c r="I23" s="250"/>
      <c r="J23" s="517" t="s">
        <v>3669</v>
      </c>
      <c r="K23" s="522" t="s">
        <v>3670</v>
      </c>
      <c r="L23" s="250"/>
      <c r="M23" s="517" t="s">
        <v>3671</v>
      </c>
      <c r="N23" s="520" t="s">
        <v>3672</v>
      </c>
      <c r="O23" s="250"/>
      <c r="P23" s="250"/>
      <c r="Q23" s="245"/>
    </row>
    <row r="24" spans="1:18">
      <c r="A24" s="716"/>
      <c r="B24" s="250"/>
      <c r="C24" s="254">
        <v>23</v>
      </c>
      <c r="D24" s="252" t="s">
        <v>3673</v>
      </c>
      <c r="E24" s="250"/>
      <c r="F24" s="250"/>
      <c r="G24" s="257" t="s">
        <v>187</v>
      </c>
      <c r="H24" s="250"/>
      <c r="I24" s="250"/>
      <c r="J24" s="517" t="s">
        <v>3674</v>
      </c>
      <c r="K24" s="522" t="s">
        <v>3675</v>
      </c>
      <c r="L24" s="250"/>
      <c r="M24" s="517" t="s">
        <v>3676</v>
      </c>
      <c r="N24" s="520" t="s">
        <v>3677</v>
      </c>
      <c r="O24" s="250"/>
      <c r="P24" s="250"/>
      <c r="Q24" s="245"/>
    </row>
    <row r="25" spans="1:18">
      <c r="A25" s="716"/>
      <c r="B25" s="250"/>
      <c r="C25" s="254">
        <v>24</v>
      </c>
      <c r="D25" s="252" t="s">
        <v>3678</v>
      </c>
      <c r="E25" s="250"/>
      <c r="F25" s="250"/>
      <c r="G25" s="257" t="s">
        <v>187</v>
      </c>
      <c r="H25" s="250"/>
      <c r="I25" s="250"/>
      <c r="J25" s="517" t="s">
        <v>3679</v>
      </c>
      <c r="K25" s="522" t="s">
        <v>3680</v>
      </c>
      <c r="L25" s="250"/>
      <c r="M25" s="517" t="s">
        <v>3681</v>
      </c>
      <c r="N25" s="520" t="s">
        <v>3682</v>
      </c>
      <c r="O25" s="250"/>
      <c r="P25" s="250"/>
      <c r="Q25" s="245"/>
    </row>
    <row r="26" spans="1:18">
      <c r="A26" s="716"/>
      <c r="B26" s="250"/>
      <c r="C26" s="254">
        <v>25</v>
      </c>
      <c r="D26" s="252" t="s">
        <v>3683</v>
      </c>
      <c r="E26" s="250"/>
      <c r="F26" s="250"/>
      <c r="G26" s="257" t="s">
        <v>187</v>
      </c>
      <c r="H26" s="250"/>
      <c r="I26" s="250"/>
      <c r="J26" s="517" t="s">
        <v>3684</v>
      </c>
      <c r="K26" s="522" t="s">
        <v>3685</v>
      </c>
      <c r="L26" s="250"/>
      <c r="M26" s="517" t="s">
        <v>3686</v>
      </c>
      <c r="N26" s="520" t="s">
        <v>3687</v>
      </c>
      <c r="O26" s="250"/>
      <c r="P26" s="250"/>
      <c r="Q26" s="245"/>
    </row>
    <row r="27" spans="1:18">
      <c r="A27" s="716"/>
      <c r="B27" s="250"/>
      <c r="C27" s="254">
        <v>26</v>
      </c>
      <c r="D27" s="252" t="s">
        <v>3688</v>
      </c>
      <c r="E27" s="250"/>
      <c r="F27" s="250"/>
      <c r="G27" s="257" t="s">
        <v>187</v>
      </c>
      <c r="H27" s="250"/>
      <c r="I27" s="250"/>
      <c r="J27" s="517"/>
      <c r="K27" s="522" t="s">
        <v>3689</v>
      </c>
      <c r="L27" s="250"/>
      <c r="M27" s="517" t="s">
        <v>3690</v>
      </c>
      <c r="N27" s="520" t="s">
        <v>3691</v>
      </c>
      <c r="O27" s="250"/>
      <c r="P27" s="250"/>
      <c r="Q27" s="245"/>
    </row>
    <row r="28" spans="1:18">
      <c r="A28" s="716"/>
      <c r="B28" s="250"/>
      <c r="C28" s="254">
        <v>27</v>
      </c>
      <c r="D28" s="252" t="s">
        <v>3692</v>
      </c>
      <c r="E28" s="250"/>
      <c r="F28" s="250"/>
      <c r="G28" s="257" t="s">
        <v>187</v>
      </c>
      <c r="H28" s="250"/>
      <c r="I28" s="250"/>
      <c r="J28" s="517" t="s">
        <v>3693</v>
      </c>
      <c r="K28" s="522" t="s">
        <v>3694</v>
      </c>
      <c r="L28" s="250"/>
      <c r="M28" s="517" t="s">
        <v>3695</v>
      </c>
      <c r="N28" s="520" t="s">
        <v>3696</v>
      </c>
      <c r="O28" s="250"/>
      <c r="P28" s="250"/>
    </row>
    <row r="29" spans="1:18">
      <c r="A29" s="716"/>
      <c r="B29" s="250"/>
      <c r="C29" s="254">
        <v>28</v>
      </c>
      <c r="D29" s="252" t="s">
        <v>3697</v>
      </c>
      <c r="E29" s="250"/>
      <c r="F29" s="250"/>
      <c r="G29" s="257" t="s">
        <v>187</v>
      </c>
      <c r="H29" s="250"/>
      <c r="I29" s="250"/>
      <c r="J29" s="517" t="s">
        <v>3698</v>
      </c>
      <c r="K29" s="522" t="s">
        <v>3699</v>
      </c>
      <c r="L29" s="250"/>
      <c r="M29" s="517" t="s">
        <v>3700</v>
      </c>
      <c r="N29" s="520" t="s">
        <v>3701</v>
      </c>
      <c r="O29" s="250"/>
      <c r="P29" s="250"/>
    </row>
    <row r="30" spans="1:18">
      <c r="A30" s="716"/>
      <c r="B30" s="250"/>
      <c r="C30" s="254">
        <v>29</v>
      </c>
      <c r="D30" s="258" t="s">
        <v>3702</v>
      </c>
      <c r="E30" s="60"/>
      <c r="F30" s="250"/>
      <c r="G30" s="257"/>
      <c r="H30" s="250"/>
      <c r="I30" s="250"/>
      <c r="J30" s="517" t="s">
        <v>3703</v>
      </c>
      <c r="K30" s="522" t="s">
        <v>3704</v>
      </c>
      <c r="L30" s="250"/>
      <c r="M30" s="517" t="s">
        <v>3705</v>
      </c>
      <c r="N30" s="520" t="s">
        <v>3706</v>
      </c>
      <c r="O30" s="250"/>
      <c r="P30" s="250"/>
    </row>
    <row r="31" spans="1:18">
      <c r="A31" s="716"/>
      <c r="B31" s="250"/>
      <c r="C31" s="254">
        <v>30</v>
      </c>
      <c r="D31" s="258" t="s">
        <v>3707</v>
      </c>
      <c r="E31" s="250"/>
      <c r="F31" s="250"/>
      <c r="G31" s="257"/>
      <c r="H31" s="250"/>
      <c r="I31" s="250"/>
      <c r="J31" s="517" t="s">
        <v>3708</v>
      </c>
      <c r="K31" s="522" t="s">
        <v>3709</v>
      </c>
      <c r="L31" s="250"/>
      <c r="M31" s="517" t="s">
        <v>3710</v>
      </c>
      <c r="N31" s="520" t="s">
        <v>3711</v>
      </c>
      <c r="O31" s="250"/>
      <c r="P31" s="250"/>
      <c r="R31" t="s">
        <v>3712</v>
      </c>
    </row>
    <row r="32" spans="1:18">
      <c r="A32" s="716"/>
      <c r="B32" s="250"/>
      <c r="C32" s="254">
        <v>31</v>
      </c>
      <c r="D32" s="252" t="s">
        <v>3713</v>
      </c>
      <c r="E32" s="250"/>
      <c r="F32" s="250"/>
      <c r="G32" s="257" t="s">
        <v>187</v>
      </c>
      <c r="H32" s="250"/>
      <c r="I32" s="250"/>
      <c r="J32" s="517" t="s">
        <v>3714</v>
      </c>
      <c r="K32" s="522" t="s">
        <v>3715</v>
      </c>
      <c r="L32" s="250"/>
      <c r="M32" s="517" t="s">
        <v>3716</v>
      </c>
      <c r="N32" s="520" t="s">
        <v>3717</v>
      </c>
      <c r="O32" s="250"/>
      <c r="P32" s="250"/>
    </row>
    <row r="33" spans="14:14">
      <c r="N33" s="245"/>
    </row>
  </sheetData>
  <mergeCells count="1">
    <mergeCell ref="A2:A32"/>
  </mergeCells>
  <hyperlinks>
    <hyperlink ref="G2" r:id="rId1" xr:uid="{F096E6C7-5807-4659-9082-BA91B839A6FD}"/>
    <hyperlink ref="G3" r:id="rId2" xr:uid="{337CCA9A-5A68-4B0E-A8F1-6D53F1FF0C1D}"/>
    <hyperlink ref="G4:G32" r:id="rId3" display="ok" xr:uid="{96E56EB5-D613-4F43-94AE-21EDAD838A48}"/>
    <hyperlink ref="N2" r:id="rId4" xr:uid="{812A9B46-FF33-4FFC-9E17-DA8AC3475228}"/>
    <hyperlink ref="N3" r:id="rId5" xr:uid="{47B4294F-C477-48D0-AC23-4E24794002C7}"/>
    <hyperlink ref="N4" r:id="rId6" xr:uid="{F6E569EB-0820-48A9-93AE-CFA759002B1E}"/>
    <hyperlink ref="N5" r:id="rId7" xr:uid="{E2F9BEC1-DE42-42FF-B1B6-788F976AABD5}"/>
    <hyperlink ref="N6" r:id="rId8" xr:uid="{E12A5D14-858F-4BE0-9F72-3B6402007729}"/>
    <hyperlink ref="N7" r:id="rId9" xr:uid="{5D6C58C5-82AF-4689-AC2F-7EA34FA6B739}"/>
    <hyperlink ref="N8" r:id="rId10" xr:uid="{ABCC30F3-9463-4F34-BE3B-256B94548AF9}"/>
    <hyperlink ref="N9" r:id="rId11" xr:uid="{F7FAD818-192A-4B88-9A07-6A8CE2722282}"/>
    <hyperlink ref="N10" r:id="rId12" xr:uid="{04680D03-47B9-41FC-819B-18AAF5ACDC0E}"/>
    <hyperlink ref="N11" r:id="rId13" xr:uid="{A310A940-494A-4FC8-8CD9-BB9ADB87AAD2}"/>
    <hyperlink ref="N12" r:id="rId14" xr:uid="{58461EBD-74B8-407A-94B2-3585CF87E5B5}"/>
    <hyperlink ref="N13" r:id="rId15" xr:uid="{A906BE4A-612F-4F85-BE0E-6C6A36AA55B7}"/>
    <hyperlink ref="N14" r:id="rId16" xr:uid="{9F2BC4F1-0419-4A55-A3DE-895C52ED9320}"/>
    <hyperlink ref="N15" r:id="rId17" xr:uid="{13F9DD5F-7305-4405-B585-2FAC4E5F17DD}"/>
    <hyperlink ref="N16" r:id="rId18" xr:uid="{EC155962-E4AA-47A5-B4E5-92D73550EA52}"/>
    <hyperlink ref="N17" r:id="rId19" xr:uid="{7B69CD64-5489-4E25-9BF2-3584086ED520}"/>
    <hyperlink ref="N18" r:id="rId20" xr:uid="{9E95FD88-EA91-4647-9893-72FF5777E59A}"/>
    <hyperlink ref="N19" r:id="rId21" xr:uid="{3FD8EBCA-AD4D-4890-B6FA-68912C0976DD}"/>
    <hyperlink ref="N20" r:id="rId22" xr:uid="{9DCF759B-C9AE-4AA3-8566-AC56680D0CAC}"/>
    <hyperlink ref="N21" r:id="rId23" xr:uid="{E073FD96-D71D-4E0C-8C69-178C2F1B3C87}"/>
    <hyperlink ref="N22" r:id="rId24" xr:uid="{EA4D4F76-4401-45C4-B5F4-EA470DA62BE2}"/>
    <hyperlink ref="N23" r:id="rId25" xr:uid="{0A2770F4-C87C-49A0-A57B-9A6BA319CF52}"/>
    <hyperlink ref="N24" r:id="rId26" xr:uid="{CD89C539-EBB4-4144-A742-F5309E06EABB}"/>
    <hyperlink ref="N25" r:id="rId27" xr:uid="{422F9170-AA46-49EC-B604-A22F8475F0C1}"/>
    <hyperlink ref="N26" r:id="rId28" xr:uid="{D45CDEE8-4EBD-45D2-A427-A2265CB13E57}"/>
    <hyperlink ref="N27" r:id="rId29" xr:uid="{B0BBC251-DAC2-42A2-9FA1-82AEE39A5A06}"/>
    <hyperlink ref="N28" r:id="rId30" xr:uid="{48C30C99-9C6D-424B-B526-978DF6AD15A4}"/>
    <hyperlink ref="N29" r:id="rId31" xr:uid="{3323EBCC-FDBD-454D-A938-7F80D1E83304}"/>
    <hyperlink ref="N30" r:id="rId32" xr:uid="{B91B9EC7-C341-400C-8E8E-1493D93A62FC}"/>
    <hyperlink ref="N31" r:id="rId33" xr:uid="{00AEA99E-2499-4E05-AD9D-42142F6DCD9C}"/>
    <hyperlink ref="N32" r:id="rId34" xr:uid="{9C8614BB-4723-483D-90BE-F18D8DD26987}"/>
    <hyperlink ref="K2" r:id="rId35" xr:uid="{CC399DFF-1331-4C85-AF1D-03302699E5E0}"/>
    <hyperlink ref="K3" r:id="rId36" xr:uid="{4F7ECE79-DF8F-41D6-9A11-9E76B513B560}"/>
    <hyperlink ref="K4" r:id="rId37" xr:uid="{5BBF70E5-4795-43B1-8270-CD4D8FE38D75}"/>
    <hyperlink ref="K5" r:id="rId38" xr:uid="{3572BD85-8E65-4E3C-BD4A-8E0D7B162F68}"/>
    <hyperlink ref="K6" r:id="rId39" xr:uid="{CE985C93-D32D-42F7-B720-2F8A295AD4DE}"/>
    <hyperlink ref="K7" r:id="rId40" xr:uid="{BA7902DE-A0F1-424B-99EA-C26A72EDDABE}"/>
    <hyperlink ref="K8" r:id="rId41" xr:uid="{FFD54EF0-A6FD-45DF-AA8A-7528753CD230}"/>
    <hyperlink ref="K9" r:id="rId42" xr:uid="{0DB740AE-99BD-40B8-86C3-730EF98A2596}"/>
    <hyperlink ref="K10" r:id="rId43" xr:uid="{6B08BA3A-8F4C-407E-A66E-C60B29574DCA}"/>
    <hyperlink ref="K11" r:id="rId44" xr:uid="{EF17E711-3DA9-4ECA-8466-142B81C87B5F}"/>
    <hyperlink ref="K12" r:id="rId45" xr:uid="{63AB686F-1B38-4A4B-8A41-AFF9A26EFCDA}"/>
    <hyperlink ref="K13" r:id="rId46" xr:uid="{C0812A56-5261-4642-9562-A994E5CB8CEB}"/>
    <hyperlink ref="K14" r:id="rId47" xr:uid="{F7701BAC-0C34-4E15-89B4-A398E7B50735}"/>
    <hyperlink ref="K15" r:id="rId48" xr:uid="{6AC89F46-E430-43D1-8A7D-F812746E52E2}"/>
    <hyperlink ref="K16" r:id="rId49" xr:uid="{5A3C43C6-8B6F-492A-9910-7850E8C7C624}"/>
    <hyperlink ref="K17" r:id="rId50" xr:uid="{C30D81A7-93DF-4763-99DD-6A0B283C8C2E}"/>
    <hyperlink ref="K18" r:id="rId51" xr:uid="{120E0B75-A90B-4BEF-95C2-DD141ACED6DD}"/>
    <hyperlink ref="K19" r:id="rId52" xr:uid="{F499365B-F894-4D3D-B728-CEDF0562C549}"/>
    <hyperlink ref="K20" r:id="rId53" xr:uid="{AC5ABC52-6F09-41BF-A7BE-51495D796A79}"/>
    <hyperlink ref="K21" r:id="rId54" xr:uid="{878FE847-DEC5-4D4E-99FE-6EC26E688698}"/>
    <hyperlink ref="K22" r:id="rId55" xr:uid="{528F8284-9EAD-474B-B578-62F221035868}"/>
    <hyperlink ref="K23" r:id="rId56" xr:uid="{872055CC-6758-4E4E-8069-F905637A5413}"/>
    <hyperlink ref="K24" r:id="rId57" xr:uid="{78D786F1-F649-48F2-AB99-6159EBB24247}"/>
    <hyperlink ref="K25" r:id="rId58" xr:uid="{D084CACD-CBBB-44C6-8618-38CF6BD2BFA8}"/>
    <hyperlink ref="K26" r:id="rId59" xr:uid="{5F2CD8DD-DCA2-444F-A10B-573678FF63A7}"/>
    <hyperlink ref="K27" r:id="rId60" xr:uid="{09109E0C-AD9F-41D5-8887-5014D34220EC}"/>
    <hyperlink ref="K28" r:id="rId61" xr:uid="{06D3EA1E-B2B4-4ED7-8C4D-CBE49EFB8791}"/>
    <hyperlink ref="K29" r:id="rId62" xr:uid="{C4D4F381-F30F-4CFB-A456-A359775E03D6}"/>
    <hyperlink ref="K30" r:id="rId63" xr:uid="{BE94C804-853A-4CDC-B698-5DEA72A2ECBF}"/>
    <hyperlink ref="K32" r:id="rId64" xr:uid="{C2134AA0-E15C-4E96-9968-A2DC53AA5194}"/>
    <hyperlink ref="K31" r:id="rId65" xr:uid="{26C6F516-F7FE-4654-835C-A26BC6654527}"/>
  </hyperlinks>
  <pageMargins left="0.7" right="0.7" top="0.75" bottom="0.75" header="0.3" footer="0.3"/>
  <legacyDrawing r:id="rId6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0953-D253-493A-8B93-CC0E8426E6A2}">
  <dimension ref="A1:Z57"/>
  <sheetViews>
    <sheetView topLeftCell="A32" workbookViewId="0">
      <selection activeCell="A50" sqref="A50"/>
    </sheetView>
  </sheetViews>
  <sheetFormatPr defaultRowHeight="15"/>
  <cols>
    <col min="2" max="2" width="22.42578125" customWidth="1"/>
    <col min="4" max="4" width="12.42578125" customWidth="1"/>
    <col min="5" max="5" width="38.85546875" customWidth="1"/>
    <col min="7" max="7" width="32.5703125" customWidth="1"/>
    <col min="9" max="9" width="33.140625" customWidth="1"/>
    <col min="10" max="10" width="21.85546875" customWidth="1"/>
    <col min="11" max="11" width="29.28515625" customWidth="1"/>
  </cols>
  <sheetData>
    <row r="1" spans="1:12" ht="24.75">
      <c r="A1" s="444" t="s">
        <v>3718</v>
      </c>
      <c r="B1" s="445" t="s">
        <v>3719</v>
      </c>
      <c r="C1" s="445" t="s">
        <v>172</v>
      </c>
      <c r="D1" s="445" t="s">
        <v>173</v>
      </c>
      <c r="E1" s="446" t="s">
        <v>174</v>
      </c>
      <c r="F1" s="446" t="s">
        <v>181</v>
      </c>
      <c r="G1" s="446" t="s">
        <v>2198</v>
      </c>
      <c r="H1" s="446" t="s">
        <v>3720</v>
      </c>
      <c r="I1" s="446" t="s">
        <v>3559</v>
      </c>
      <c r="J1" s="446" t="s">
        <v>3721</v>
      </c>
      <c r="K1" s="446" t="s">
        <v>2200</v>
      </c>
      <c r="L1" s="446" t="s">
        <v>3722</v>
      </c>
    </row>
    <row r="2" spans="1:12" ht="28.5" customHeight="1">
      <c r="A2" s="675" t="s">
        <v>3723</v>
      </c>
      <c r="B2" s="727" t="s">
        <v>3724</v>
      </c>
      <c r="C2" s="730" t="s">
        <v>245</v>
      </c>
      <c r="D2" s="448" t="s">
        <v>184</v>
      </c>
      <c r="E2" s="451" t="s">
        <v>3725</v>
      </c>
      <c r="F2" s="454">
        <v>6.875E-3</v>
      </c>
      <c r="G2" s="457" t="s">
        <v>3726</v>
      </c>
      <c r="H2" s="9" t="s">
        <v>188</v>
      </c>
      <c r="I2" s="457" t="s">
        <v>3727</v>
      </c>
      <c r="J2" s="9" t="s">
        <v>188</v>
      </c>
      <c r="K2" s="353" t="s">
        <v>3728</v>
      </c>
    </row>
    <row r="3" spans="1:12" ht="15.75" customHeight="1">
      <c r="A3" s="676"/>
      <c r="B3" s="728"/>
      <c r="C3" s="718"/>
      <c r="D3" s="449" t="s">
        <v>190</v>
      </c>
      <c r="E3" s="452" t="s">
        <v>3729</v>
      </c>
      <c r="F3" s="455">
        <v>1.3113425925925926E-2</v>
      </c>
      <c r="G3" s="458" t="s">
        <v>3730</v>
      </c>
      <c r="H3" s="9" t="s">
        <v>188</v>
      </c>
      <c r="I3" s="458" t="s">
        <v>3731</v>
      </c>
      <c r="J3" s="9" t="s">
        <v>188</v>
      </c>
      <c r="K3" s="355" t="s">
        <v>3732</v>
      </c>
    </row>
    <row r="4" spans="1:12" ht="15.75" customHeight="1">
      <c r="A4" s="676"/>
      <c r="B4" s="728"/>
      <c r="C4" s="719"/>
      <c r="D4" s="449" t="s">
        <v>195</v>
      </c>
      <c r="E4" s="452" t="s">
        <v>3733</v>
      </c>
      <c r="F4" s="455">
        <v>9.3981481481481485E-3</v>
      </c>
      <c r="G4" s="458" t="s">
        <v>3734</v>
      </c>
      <c r="H4" s="9" t="s">
        <v>188</v>
      </c>
      <c r="I4" s="458" t="s">
        <v>3735</v>
      </c>
      <c r="J4" s="9" t="s">
        <v>188</v>
      </c>
      <c r="K4" s="355" t="s">
        <v>3736</v>
      </c>
    </row>
    <row r="5" spans="1:12" ht="15.75" customHeight="1">
      <c r="A5" s="676"/>
      <c r="B5" s="728"/>
      <c r="C5" s="717" t="s">
        <v>256</v>
      </c>
      <c r="D5" s="449" t="s">
        <v>199</v>
      </c>
      <c r="E5" s="452" t="s">
        <v>3737</v>
      </c>
      <c r="F5" s="455">
        <v>1.1041666666666667E-2</v>
      </c>
      <c r="G5" s="458" t="s">
        <v>3738</v>
      </c>
      <c r="H5" s="9" t="s">
        <v>188</v>
      </c>
      <c r="I5" s="458" t="s">
        <v>3739</v>
      </c>
      <c r="J5" s="9" t="s">
        <v>188</v>
      </c>
      <c r="K5" s="355" t="s">
        <v>3740</v>
      </c>
    </row>
    <row r="6" spans="1:12" ht="15.75" customHeight="1">
      <c r="A6" s="676"/>
      <c r="B6" s="728"/>
      <c r="C6" s="718"/>
      <c r="D6" s="449" t="s">
        <v>204</v>
      </c>
      <c r="E6" s="452" t="s">
        <v>3741</v>
      </c>
      <c r="F6" s="455">
        <v>1.1099537037037036E-2</v>
      </c>
      <c r="G6" s="458" t="s">
        <v>3742</v>
      </c>
      <c r="H6" s="9" t="s">
        <v>188</v>
      </c>
      <c r="I6" s="458" t="s">
        <v>3743</v>
      </c>
      <c r="J6" s="9" t="s">
        <v>188</v>
      </c>
      <c r="K6" s="355" t="s">
        <v>3744</v>
      </c>
    </row>
    <row r="7" spans="1:12" ht="15.75" customHeight="1">
      <c r="A7" s="676"/>
      <c r="B7" s="728"/>
      <c r="C7" s="719"/>
      <c r="D7" s="449" t="s">
        <v>208</v>
      </c>
      <c r="E7" s="452" t="s">
        <v>3745</v>
      </c>
      <c r="F7" s="455">
        <v>1.425925925925926E-2</v>
      </c>
      <c r="G7" s="458" t="s">
        <v>3746</v>
      </c>
      <c r="H7" s="9" t="s">
        <v>188</v>
      </c>
      <c r="I7" s="458" t="s">
        <v>3747</v>
      </c>
      <c r="J7" s="9" t="s">
        <v>188</v>
      </c>
      <c r="K7" s="355" t="s">
        <v>3748</v>
      </c>
    </row>
    <row r="8" spans="1:12" ht="15.75" customHeight="1">
      <c r="A8" s="676"/>
      <c r="B8" s="728"/>
      <c r="C8" s="717" t="s">
        <v>266</v>
      </c>
      <c r="D8" s="449" t="s">
        <v>213</v>
      </c>
      <c r="E8" s="452" t="s">
        <v>3749</v>
      </c>
      <c r="F8" s="455">
        <v>1.2847222222222222E-2</v>
      </c>
      <c r="G8" s="458" t="s">
        <v>3750</v>
      </c>
      <c r="H8" s="9" t="s">
        <v>188</v>
      </c>
      <c r="I8" s="458" t="s">
        <v>3751</v>
      </c>
      <c r="J8" s="9" t="s">
        <v>188</v>
      </c>
      <c r="K8" s="355" t="s">
        <v>3752</v>
      </c>
    </row>
    <row r="9" spans="1:12" ht="15.75" customHeight="1">
      <c r="A9" s="676"/>
      <c r="B9" s="728"/>
      <c r="C9" s="719"/>
      <c r="D9" s="449" t="s">
        <v>270</v>
      </c>
      <c r="E9" s="452" t="s">
        <v>3753</v>
      </c>
      <c r="F9" s="455">
        <v>8.7847222222222215E-3</v>
      </c>
      <c r="G9" s="458" t="s">
        <v>3754</v>
      </c>
      <c r="H9" s="9" t="s">
        <v>188</v>
      </c>
      <c r="I9" s="458" t="s">
        <v>3755</v>
      </c>
      <c r="J9" s="9" t="s">
        <v>188</v>
      </c>
      <c r="K9" s="355" t="s">
        <v>3756</v>
      </c>
    </row>
    <row r="10" spans="1:12" ht="30.75">
      <c r="A10" s="676"/>
      <c r="B10" s="728"/>
      <c r="C10" s="717" t="s">
        <v>278</v>
      </c>
      <c r="D10" s="449" t="s">
        <v>274</v>
      </c>
      <c r="E10" s="452" t="s">
        <v>3757</v>
      </c>
      <c r="F10" s="455">
        <v>1.1770833333333333E-2</v>
      </c>
      <c r="G10" s="458" t="s">
        <v>3758</v>
      </c>
      <c r="H10" s="9" t="s">
        <v>188</v>
      </c>
      <c r="I10" s="458" t="s">
        <v>3759</v>
      </c>
      <c r="J10" s="9" t="s">
        <v>188</v>
      </c>
      <c r="K10" s="355" t="s">
        <v>3760</v>
      </c>
    </row>
    <row r="11" spans="1:12" ht="30.75">
      <c r="A11" s="676"/>
      <c r="B11" s="728"/>
      <c r="C11" s="719"/>
      <c r="D11" s="449" t="s">
        <v>279</v>
      </c>
      <c r="E11" s="452" t="s">
        <v>3761</v>
      </c>
      <c r="F11" s="455">
        <v>1.207175925925926E-2</v>
      </c>
      <c r="G11" s="458" t="s">
        <v>3762</v>
      </c>
      <c r="H11" s="9" t="s">
        <v>188</v>
      </c>
      <c r="I11" s="458" t="s">
        <v>3763</v>
      </c>
      <c r="J11" s="9" t="s">
        <v>188</v>
      </c>
      <c r="K11" s="355" t="s">
        <v>3764</v>
      </c>
    </row>
    <row r="12" spans="1:12" ht="30.75">
      <c r="A12" s="676"/>
      <c r="B12" s="728"/>
      <c r="C12" s="717" t="s">
        <v>291</v>
      </c>
      <c r="D12" s="449" t="s">
        <v>283</v>
      </c>
      <c r="E12" s="452" t="s">
        <v>3765</v>
      </c>
      <c r="F12" s="455">
        <v>1.3298611111111112E-2</v>
      </c>
      <c r="G12" s="458" t="s">
        <v>3766</v>
      </c>
      <c r="H12" s="9" t="s">
        <v>188</v>
      </c>
      <c r="I12" s="458" t="s">
        <v>3767</v>
      </c>
      <c r="J12" s="9" t="s">
        <v>188</v>
      </c>
      <c r="K12" s="355" t="s">
        <v>3768</v>
      </c>
    </row>
    <row r="13" spans="1:12" ht="30.75">
      <c r="A13" s="676"/>
      <c r="B13" s="728"/>
      <c r="C13" s="718"/>
      <c r="D13" s="449" t="s">
        <v>287</v>
      </c>
      <c r="E13" s="452" t="s">
        <v>3769</v>
      </c>
      <c r="F13" s="455">
        <v>1.4004629629629629E-2</v>
      </c>
      <c r="G13" s="458" t="s">
        <v>3770</v>
      </c>
      <c r="H13" s="9" t="s">
        <v>188</v>
      </c>
      <c r="I13" s="458" t="s">
        <v>3771</v>
      </c>
      <c r="J13" s="9" t="s">
        <v>188</v>
      </c>
      <c r="K13" s="355" t="s">
        <v>3772</v>
      </c>
    </row>
    <row r="14" spans="1:12" ht="30.75">
      <c r="A14" s="676"/>
      <c r="B14" s="728"/>
      <c r="C14" s="719"/>
      <c r="D14" s="449" t="s">
        <v>292</v>
      </c>
      <c r="E14" s="452" t="s">
        <v>3773</v>
      </c>
      <c r="F14" s="455">
        <v>8.4259259259259253E-3</v>
      </c>
      <c r="G14" s="458" t="s">
        <v>3774</v>
      </c>
      <c r="H14" s="9" t="s">
        <v>188</v>
      </c>
      <c r="I14" s="458" t="s">
        <v>3775</v>
      </c>
      <c r="J14" s="9" t="s">
        <v>3776</v>
      </c>
      <c r="K14" s="355" t="s">
        <v>3777</v>
      </c>
    </row>
    <row r="15" spans="1:12" ht="30.75">
      <c r="A15" s="676"/>
      <c r="B15" s="728"/>
      <c r="C15" s="717" t="s">
        <v>305</v>
      </c>
      <c r="D15" s="449" t="s">
        <v>297</v>
      </c>
      <c r="E15" s="452" t="s">
        <v>3778</v>
      </c>
      <c r="F15" s="455">
        <v>1.2662037037037038E-2</v>
      </c>
      <c r="G15" s="458" t="s">
        <v>3779</v>
      </c>
      <c r="H15" s="9" t="s">
        <v>3780</v>
      </c>
      <c r="I15" s="458" t="s">
        <v>3781</v>
      </c>
      <c r="J15" s="9" t="s">
        <v>3776</v>
      </c>
      <c r="K15" s="355" t="s">
        <v>3782</v>
      </c>
    </row>
    <row r="16" spans="1:12" ht="30.75">
      <c r="A16" s="676"/>
      <c r="B16" s="728"/>
      <c r="C16" s="718"/>
      <c r="D16" s="449" t="s">
        <v>301</v>
      </c>
      <c r="E16" s="452" t="s">
        <v>3783</v>
      </c>
      <c r="F16" s="455">
        <v>1.2534722222222221E-2</v>
      </c>
      <c r="G16" s="458" t="s">
        <v>3784</v>
      </c>
      <c r="H16" s="9" t="s">
        <v>3780</v>
      </c>
      <c r="I16" s="458" t="s">
        <v>3785</v>
      </c>
      <c r="J16" s="9" t="s">
        <v>3780</v>
      </c>
      <c r="K16" s="355" t="s">
        <v>3786</v>
      </c>
    </row>
    <row r="17" spans="1:26" ht="30.75">
      <c r="A17" s="676"/>
      <c r="B17" s="728"/>
      <c r="C17" s="718"/>
      <c r="D17" s="449" t="s">
        <v>306</v>
      </c>
      <c r="E17" s="452" t="s">
        <v>3787</v>
      </c>
      <c r="F17" s="455">
        <v>1.4409722222222223E-2</v>
      </c>
      <c r="G17" s="458" t="s">
        <v>3788</v>
      </c>
      <c r="H17" s="9" t="s">
        <v>188</v>
      </c>
      <c r="I17" s="458" t="s">
        <v>3789</v>
      </c>
      <c r="J17" s="9" t="s">
        <v>3780</v>
      </c>
      <c r="K17" s="355" t="s">
        <v>3790</v>
      </c>
    </row>
    <row r="18" spans="1:26" ht="30.75">
      <c r="A18" s="676"/>
      <c r="B18" s="728"/>
      <c r="C18" s="719"/>
      <c r="D18" s="449" t="s">
        <v>425</v>
      </c>
      <c r="E18" s="452" t="s">
        <v>3791</v>
      </c>
      <c r="F18" s="455">
        <v>9.8148148148148144E-3</v>
      </c>
      <c r="G18" s="458" t="s">
        <v>3792</v>
      </c>
      <c r="H18" s="9" t="s">
        <v>188</v>
      </c>
      <c r="I18" s="458" t="s">
        <v>3793</v>
      </c>
      <c r="J18" s="9" t="s">
        <v>188</v>
      </c>
      <c r="K18" s="355" t="s">
        <v>3794</v>
      </c>
    </row>
    <row r="19" spans="1:26">
      <c r="A19" s="676"/>
      <c r="B19" s="728"/>
      <c r="C19" s="717" t="s">
        <v>365</v>
      </c>
      <c r="D19" s="449" t="s">
        <v>429</v>
      </c>
      <c r="E19" s="452" t="s">
        <v>3795</v>
      </c>
      <c r="F19" s="455">
        <v>1.0625000000000001E-2</v>
      </c>
      <c r="G19" s="458" t="s">
        <v>3796</v>
      </c>
      <c r="H19" s="9" t="s">
        <v>188</v>
      </c>
      <c r="I19" s="458" t="s">
        <v>3797</v>
      </c>
      <c r="J19" s="9" t="s">
        <v>188</v>
      </c>
      <c r="K19" s="355" t="s">
        <v>3798</v>
      </c>
    </row>
    <row r="20" spans="1:26">
      <c r="A20" s="676"/>
      <c r="B20" s="728"/>
      <c r="C20" s="718"/>
      <c r="D20" s="449" t="s">
        <v>433</v>
      </c>
      <c r="E20" s="452" t="s">
        <v>3799</v>
      </c>
      <c r="F20" s="455">
        <v>1.5821759259259258E-2</v>
      </c>
      <c r="G20" s="458" t="s">
        <v>3800</v>
      </c>
      <c r="H20" s="9" t="s">
        <v>188</v>
      </c>
      <c r="I20" s="458" t="s">
        <v>3801</v>
      </c>
      <c r="J20" s="9" t="s">
        <v>188</v>
      </c>
      <c r="K20" s="355" t="s">
        <v>3802</v>
      </c>
    </row>
    <row r="21" spans="1:26">
      <c r="A21" s="676"/>
      <c r="B21" s="728"/>
      <c r="C21" s="719"/>
      <c r="D21" s="449" t="s">
        <v>437</v>
      </c>
      <c r="E21" s="452" t="s">
        <v>3803</v>
      </c>
      <c r="F21" s="455">
        <v>1.525462962962963E-2</v>
      </c>
      <c r="G21" s="458" t="s">
        <v>3804</v>
      </c>
      <c r="H21" s="9" t="s">
        <v>3780</v>
      </c>
      <c r="I21" s="458" t="s">
        <v>3805</v>
      </c>
      <c r="J21" s="9" t="s">
        <v>3806</v>
      </c>
      <c r="K21" s="355" t="s">
        <v>3807</v>
      </c>
    </row>
    <row r="22" spans="1:26">
      <c r="A22" s="677"/>
      <c r="B22" s="729"/>
      <c r="C22" s="447" t="s">
        <v>1351</v>
      </c>
      <c r="D22" s="450" t="s">
        <v>639</v>
      </c>
      <c r="E22" s="453" t="s">
        <v>3808</v>
      </c>
      <c r="F22" s="456">
        <v>1.1319444444444444E-2</v>
      </c>
      <c r="G22" s="459" t="s">
        <v>3809</v>
      </c>
      <c r="H22" s="9" t="s">
        <v>3780</v>
      </c>
      <c r="I22" s="459" t="s">
        <v>3810</v>
      </c>
      <c r="J22" s="9" t="s">
        <v>188</v>
      </c>
      <c r="K22" s="354" t="s">
        <v>3811</v>
      </c>
    </row>
    <row r="23" spans="1:26" s="732" customFormat="1" ht="15.75" customHeight="1">
      <c r="A23" s="731"/>
      <c r="B23" s="599"/>
      <c r="C23" s="599"/>
      <c r="D23" s="599"/>
      <c r="E23" s="599"/>
      <c r="F23" s="599"/>
      <c r="G23" s="599"/>
      <c r="H23" s="599"/>
      <c r="I23" s="599"/>
      <c r="J23" s="599"/>
      <c r="K23" s="599"/>
      <c r="L23" s="599"/>
      <c r="M23" s="599"/>
      <c r="N23" s="599"/>
      <c r="O23" s="599"/>
      <c r="P23" s="599"/>
      <c r="Q23" s="599"/>
      <c r="R23" s="599"/>
      <c r="S23" s="599"/>
      <c r="T23" s="599"/>
      <c r="U23" s="599"/>
      <c r="V23" s="599"/>
      <c r="W23" s="599"/>
      <c r="X23" s="599"/>
      <c r="Y23" s="599"/>
      <c r="Z23" s="599"/>
    </row>
    <row r="24" spans="1:26">
      <c r="A24" s="720" t="s">
        <v>92</v>
      </c>
      <c r="B24" s="723" t="s">
        <v>3265</v>
      </c>
      <c r="C24" s="670" t="s">
        <v>245</v>
      </c>
      <c r="D24" s="460" t="s">
        <v>3266</v>
      </c>
      <c r="E24" s="461" t="s">
        <v>3267</v>
      </c>
      <c r="F24" s="456">
        <v>1.1319444444444444E-2</v>
      </c>
      <c r="G24" s="468" t="s">
        <v>3268</v>
      </c>
      <c r="H24" s="9" t="s">
        <v>188</v>
      </c>
      <c r="I24" s="353" t="s">
        <v>3269</v>
      </c>
      <c r="J24" s="9" t="s">
        <v>188</v>
      </c>
    </row>
    <row r="25" spans="1:26">
      <c r="A25" s="721"/>
      <c r="B25" s="724"/>
      <c r="C25" s="671"/>
      <c r="D25" s="462" t="s">
        <v>184</v>
      </c>
      <c r="E25" s="463" t="s">
        <v>3272</v>
      </c>
      <c r="F25" s="456">
        <v>1.1319444444444444E-2</v>
      </c>
      <c r="G25" s="469" t="s">
        <v>3273</v>
      </c>
      <c r="H25" s="9" t="s">
        <v>188</v>
      </c>
      <c r="I25" s="355" t="s">
        <v>3274</v>
      </c>
      <c r="J25" s="9" t="s">
        <v>188</v>
      </c>
    </row>
    <row r="26" spans="1:26">
      <c r="A26" s="721"/>
      <c r="B26" s="724"/>
      <c r="C26" s="671"/>
      <c r="D26" s="462" t="s">
        <v>190</v>
      </c>
      <c r="E26" s="463" t="s">
        <v>3276</v>
      </c>
      <c r="F26" s="456">
        <v>1.1319444444444444E-2</v>
      </c>
      <c r="G26" s="469" t="s">
        <v>3277</v>
      </c>
      <c r="H26" s="9" t="s">
        <v>188</v>
      </c>
      <c r="I26" s="355" t="s">
        <v>3278</v>
      </c>
      <c r="J26" s="9" t="s">
        <v>188</v>
      </c>
    </row>
    <row r="27" spans="1:26" ht="24.75">
      <c r="A27" s="721"/>
      <c r="B27" s="724"/>
      <c r="C27" s="726"/>
      <c r="D27" s="462" t="s">
        <v>3280</v>
      </c>
      <c r="E27" s="463" t="s">
        <v>3281</v>
      </c>
      <c r="F27" s="456">
        <v>1.1319444444444444E-2</v>
      </c>
      <c r="G27" s="469" t="s">
        <v>3282</v>
      </c>
      <c r="H27" s="9" t="s">
        <v>188</v>
      </c>
      <c r="I27" s="355" t="s">
        <v>3283</v>
      </c>
      <c r="J27" s="9" t="s">
        <v>188</v>
      </c>
    </row>
    <row r="28" spans="1:26">
      <c r="A28" s="721"/>
      <c r="B28" s="724"/>
      <c r="C28" s="661" t="s">
        <v>256</v>
      </c>
      <c r="D28" s="462" t="s">
        <v>195</v>
      </c>
      <c r="E28" s="463" t="s">
        <v>3285</v>
      </c>
      <c r="F28" s="456">
        <v>1.1319444444444444E-2</v>
      </c>
      <c r="G28" s="469" t="s">
        <v>3286</v>
      </c>
      <c r="H28" s="9" t="s">
        <v>188</v>
      </c>
      <c r="I28" s="355" t="s">
        <v>3287</v>
      </c>
      <c r="J28" s="9" t="s">
        <v>188</v>
      </c>
    </row>
    <row r="29" spans="1:26">
      <c r="A29" s="721"/>
      <c r="B29" s="724"/>
      <c r="C29" s="671"/>
      <c r="D29" s="462" t="s">
        <v>199</v>
      </c>
      <c r="E29" s="463" t="s">
        <v>3289</v>
      </c>
      <c r="F29" s="456">
        <v>1.1319444444444444E-2</v>
      </c>
      <c r="G29" s="469" t="s">
        <v>3290</v>
      </c>
      <c r="H29" s="9" t="s">
        <v>188</v>
      </c>
      <c r="I29" s="355" t="s">
        <v>3291</v>
      </c>
      <c r="J29" s="9" t="s">
        <v>188</v>
      </c>
    </row>
    <row r="30" spans="1:26">
      <c r="A30" s="721"/>
      <c r="B30" s="724"/>
      <c r="C30" s="671"/>
      <c r="D30" s="462" t="s">
        <v>204</v>
      </c>
      <c r="E30" s="463" t="s">
        <v>3293</v>
      </c>
      <c r="F30" s="456">
        <v>1.1319444444444444E-2</v>
      </c>
      <c r="G30" s="469" t="s">
        <v>3294</v>
      </c>
      <c r="H30" s="9" t="s">
        <v>188</v>
      </c>
      <c r="I30" s="355" t="s">
        <v>3295</v>
      </c>
      <c r="J30" s="9" t="s">
        <v>188</v>
      </c>
    </row>
    <row r="31" spans="1:26" ht="24.75">
      <c r="A31" s="721"/>
      <c r="B31" s="724"/>
      <c r="C31" s="726"/>
      <c r="D31" s="462" t="s">
        <v>3280</v>
      </c>
      <c r="E31" s="463" t="s">
        <v>3297</v>
      </c>
      <c r="F31" s="456">
        <v>1.1319444444444444E-2</v>
      </c>
      <c r="G31" s="469" t="s">
        <v>3298</v>
      </c>
      <c r="H31" s="9" t="s">
        <v>188</v>
      </c>
      <c r="I31" s="378"/>
      <c r="J31" s="9" t="s">
        <v>188</v>
      </c>
    </row>
    <row r="32" spans="1:26">
      <c r="A32" s="721"/>
      <c r="B32" s="724"/>
      <c r="C32" s="661" t="s">
        <v>266</v>
      </c>
      <c r="D32" s="462" t="s">
        <v>208</v>
      </c>
      <c r="E32" s="463" t="s">
        <v>3299</v>
      </c>
      <c r="F32" s="456">
        <v>1.1319444444444444E-2</v>
      </c>
      <c r="G32" s="469" t="s">
        <v>3300</v>
      </c>
      <c r="H32" s="9" t="s">
        <v>188</v>
      </c>
      <c r="I32" s="355" t="s">
        <v>3301</v>
      </c>
      <c r="J32" s="9" t="s">
        <v>188</v>
      </c>
    </row>
    <row r="33" spans="1:10">
      <c r="A33" s="721"/>
      <c r="B33" s="724"/>
      <c r="C33" s="671"/>
      <c r="D33" s="462" t="s">
        <v>213</v>
      </c>
      <c r="E33" s="463" t="s">
        <v>3303</v>
      </c>
      <c r="F33" s="456">
        <v>1.1319444444444444E-2</v>
      </c>
      <c r="G33" s="469" t="s">
        <v>3304</v>
      </c>
      <c r="H33" s="9" t="s">
        <v>188</v>
      </c>
      <c r="I33" s="355" t="s">
        <v>3305</v>
      </c>
      <c r="J33" s="9" t="s">
        <v>188</v>
      </c>
    </row>
    <row r="34" spans="1:10">
      <c r="A34" s="721"/>
      <c r="B34" s="724"/>
      <c r="C34" s="726"/>
      <c r="D34" s="462" t="s">
        <v>270</v>
      </c>
      <c r="E34" s="463" t="s">
        <v>3307</v>
      </c>
      <c r="F34" s="456">
        <v>1.1319444444444444E-2</v>
      </c>
      <c r="G34" s="469" t="s">
        <v>3308</v>
      </c>
      <c r="H34" s="9" t="s">
        <v>188</v>
      </c>
      <c r="I34" s="355" t="s">
        <v>3309</v>
      </c>
      <c r="J34" s="9" t="s">
        <v>188</v>
      </c>
    </row>
    <row r="35" spans="1:10">
      <c r="A35" s="721"/>
      <c r="B35" s="724"/>
      <c r="C35" s="661" t="s">
        <v>278</v>
      </c>
      <c r="D35" s="462" t="s">
        <v>274</v>
      </c>
      <c r="E35" s="463" t="s">
        <v>3311</v>
      </c>
      <c r="F35" s="456">
        <v>1.1319444444444444E-2</v>
      </c>
      <c r="G35" s="469" t="s">
        <v>3312</v>
      </c>
      <c r="H35" s="9" t="s">
        <v>188</v>
      </c>
      <c r="I35" s="355" t="s">
        <v>3313</v>
      </c>
      <c r="J35" s="9" t="s">
        <v>188</v>
      </c>
    </row>
    <row r="36" spans="1:10">
      <c r="A36" s="721"/>
      <c r="B36" s="724"/>
      <c r="C36" s="671"/>
      <c r="D36" s="462" t="s">
        <v>279</v>
      </c>
      <c r="E36" s="463" t="s">
        <v>3315</v>
      </c>
      <c r="F36" s="456">
        <v>1.1319444444444444E-2</v>
      </c>
      <c r="G36" s="469" t="s">
        <v>3316</v>
      </c>
      <c r="H36" s="9" t="s">
        <v>188</v>
      </c>
      <c r="I36" s="355" t="s">
        <v>3317</v>
      </c>
      <c r="J36" s="9" t="s">
        <v>3780</v>
      </c>
    </row>
    <row r="37" spans="1:10">
      <c r="A37" s="721"/>
      <c r="B37" s="724"/>
      <c r="C37" s="671"/>
      <c r="D37" s="462" t="s">
        <v>283</v>
      </c>
      <c r="E37" s="463" t="s">
        <v>3319</v>
      </c>
      <c r="F37" s="456">
        <v>1.1319444444444444E-2</v>
      </c>
      <c r="G37" s="469" t="s">
        <v>3320</v>
      </c>
      <c r="H37" s="9" t="s">
        <v>188</v>
      </c>
      <c r="I37" s="355" t="s">
        <v>3321</v>
      </c>
      <c r="J37" s="9" t="s">
        <v>188</v>
      </c>
    </row>
    <row r="38" spans="1:10">
      <c r="A38" s="721"/>
      <c r="B38" s="724"/>
      <c r="C38" s="726"/>
      <c r="D38" s="462" t="s">
        <v>287</v>
      </c>
      <c r="E38" s="463" t="s">
        <v>3323</v>
      </c>
      <c r="F38" s="456">
        <v>1.1319444444444444E-2</v>
      </c>
      <c r="G38" s="469" t="s">
        <v>3324</v>
      </c>
      <c r="H38" s="9" t="s">
        <v>188</v>
      </c>
      <c r="I38" s="355" t="s">
        <v>3325</v>
      </c>
      <c r="J38" s="9" t="s">
        <v>188</v>
      </c>
    </row>
    <row r="39" spans="1:10">
      <c r="A39" s="721"/>
      <c r="B39" s="724"/>
      <c r="C39" s="661" t="s">
        <v>291</v>
      </c>
      <c r="D39" s="462" t="s">
        <v>292</v>
      </c>
      <c r="E39" s="463" t="s">
        <v>3327</v>
      </c>
      <c r="F39" s="456">
        <v>1.1319444444444444E-2</v>
      </c>
      <c r="G39" s="469" t="s">
        <v>3328</v>
      </c>
      <c r="H39" s="9" t="s">
        <v>3780</v>
      </c>
      <c r="I39" s="355" t="s">
        <v>3329</v>
      </c>
      <c r="J39" s="9" t="s">
        <v>188</v>
      </c>
    </row>
    <row r="40" spans="1:10">
      <c r="A40" s="721"/>
      <c r="B40" s="724"/>
      <c r="C40" s="726"/>
      <c r="D40" s="462" t="s">
        <v>297</v>
      </c>
      <c r="E40" s="463" t="s">
        <v>3331</v>
      </c>
      <c r="F40" s="456">
        <v>1.1319444444444444E-2</v>
      </c>
      <c r="G40" s="469" t="s">
        <v>3332</v>
      </c>
      <c r="H40" s="9" t="s">
        <v>188</v>
      </c>
      <c r="I40" s="355" t="s">
        <v>3333</v>
      </c>
      <c r="J40" s="9" t="s">
        <v>188</v>
      </c>
    </row>
    <row r="41" spans="1:10">
      <c r="A41" s="721"/>
      <c r="B41" s="724"/>
      <c r="C41" s="661" t="s">
        <v>305</v>
      </c>
      <c r="D41" s="462" t="s">
        <v>301</v>
      </c>
      <c r="E41" s="463" t="s">
        <v>3335</v>
      </c>
      <c r="F41" s="456">
        <v>1.1319444444444444E-2</v>
      </c>
      <c r="G41" s="469" t="s">
        <v>3336</v>
      </c>
      <c r="H41" s="9" t="s">
        <v>3780</v>
      </c>
      <c r="I41" s="355" t="s">
        <v>3337</v>
      </c>
      <c r="J41" s="9" t="s">
        <v>188</v>
      </c>
    </row>
    <row r="42" spans="1:10">
      <c r="A42" s="721"/>
      <c r="B42" s="724"/>
      <c r="C42" s="726"/>
      <c r="D42" s="462" t="s">
        <v>306</v>
      </c>
      <c r="E42" s="464" t="s">
        <v>3339</v>
      </c>
      <c r="F42" s="456">
        <v>1.1319444444444444E-2</v>
      </c>
      <c r="G42" s="469" t="s">
        <v>3340</v>
      </c>
      <c r="H42" s="9" t="s">
        <v>3780</v>
      </c>
      <c r="I42" s="355" t="s">
        <v>3341</v>
      </c>
      <c r="J42" s="9" t="s">
        <v>188</v>
      </c>
    </row>
    <row r="43" spans="1:10">
      <c r="A43" s="721"/>
      <c r="B43" s="724"/>
      <c r="C43" s="661" t="s">
        <v>365</v>
      </c>
      <c r="D43" s="465" t="s">
        <v>425</v>
      </c>
      <c r="E43" s="464" t="s">
        <v>3343</v>
      </c>
      <c r="F43" s="456">
        <v>1.1319444444444444E-2</v>
      </c>
      <c r="G43" s="469" t="s">
        <v>3344</v>
      </c>
      <c r="H43" s="9" t="s">
        <v>188</v>
      </c>
      <c r="I43" s="355" t="s">
        <v>3345</v>
      </c>
      <c r="J43" s="9" t="s">
        <v>188</v>
      </c>
    </row>
    <row r="44" spans="1:10">
      <c r="A44" s="721"/>
      <c r="B44" s="724"/>
      <c r="C44" s="671"/>
      <c r="D44" s="465" t="s">
        <v>429</v>
      </c>
      <c r="E44" s="464" t="s">
        <v>3347</v>
      </c>
      <c r="F44" s="456">
        <v>1.1319444444444444E-2</v>
      </c>
      <c r="G44" s="469" t="s">
        <v>3348</v>
      </c>
      <c r="H44" s="9" t="s">
        <v>3780</v>
      </c>
      <c r="I44" s="355" t="s">
        <v>3349</v>
      </c>
      <c r="J44" s="9" t="s">
        <v>188</v>
      </c>
    </row>
    <row r="45" spans="1:10">
      <c r="A45" s="722"/>
      <c r="B45" s="724"/>
      <c r="C45" s="671"/>
      <c r="D45" s="465" t="s">
        <v>433</v>
      </c>
      <c r="E45" s="464" t="s">
        <v>3351</v>
      </c>
      <c r="F45" s="456">
        <v>1.1319444444444444E-2</v>
      </c>
      <c r="G45" s="469" t="s">
        <v>3352</v>
      </c>
      <c r="H45" s="9" t="s">
        <v>188</v>
      </c>
      <c r="I45" s="355" t="s">
        <v>3353</v>
      </c>
      <c r="J45" s="9" t="s">
        <v>188</v>
      </c>
    </row>
    <row r="46" spans="1:10">
      <c r="A46" s="440"/>
      <c r="B46" s="724"/>
      <c r="C46" s="671"/>
      <c r="D46" s="465" t="s">
        <v>437</v>
      </c>
      <c r="E46" s="464" t="s">
        <v>3355</v>
      </c>
      <c r="F46" s="456">
        <v>1.1319444444444444E-2</v>
      </c>
      <c r="G46" s="469" t="s">
        <v>3356</v>
      </c>
      <c r="H46" s="9" t="s">
        <v>188</v>
      </c>
      <c r="I46" s="355" t="s">
        <v>3357</v>
      </c>
      <c r="J46" s="9" t="s">
        <v>188</v>
      </c>
    </row>
    <row r="47" spans="1:10">
      <c r="A47" s="440"/>
      <c r="B47" s="724"/>
      <c r="C47" s="671"/>
      <c r="D47" s="465" t="s">
        <v>639</v>
      </c>
      <c r="E47" s="464" t="s">
        <v>3359</v>
      </c>
      <c r="F47" s="456">
        <v>1.1319444444444444E-2</v>
      </c>
      <c r="G47" s="469" t="s">
        <v>3360</v>
      </c>
      <c r="H47" s="9" t="s">
        <v>188</v>
      </c>
      <c r="I47" s="355" t="s">
        <v>3361</v>
      </c>
      <c r="J47" s="9" t="s">
        <v>3776</v>
      </c>
    </row>
    <row r="48" spans="1:10">
      <c r="A48" s="440"/>
      <c r="B48" s="724"/>
      <c r="C48" s="671"/>
      <c r="D48" s="465" t="s">
        <v>1561</v>
      </c>
      <c r="E48" s="464" t="s">
        <v>3363</v>
      </c>
      <c r="F48" s="456">
        <v>1.1319444444444444E-2</v>
      </c>
      <c r="G48" s="469" t="s">
        <v>3364</v>
      </c>
      <c r="H48" s="9" t="s">
        <v>188</v>
      </c>
      <c r="I48" s="355" t="s">
        <v>3365</v>
      </c>
      <c r="J48" s="9" t="s">
        <v>3776</v>
      </c>
    </row>
    <row r="49" spans="1:10">
      <c r="A49" s="441"/>
      <c r="B49" s="725"/>
      <c r="C49" s="663"/>
      <c r="D49" s="466" t="s">
        <v>1565</v>
      </c>
      <c r="E49" s="467" t="s">
        <v>3367</v>
      </c>
      <c r="F49" s="456">
        <v>1.1319444444444444E-2</v>
      </c>
      <c r="G49" s="354" t="s">
        <v>3368</v>
      </c>
      <c r="H49" s="9" t="s">
        <v>188</v>
      </c>
      <c r="I49" s="354" t="s">
        <v>3369</v>
      </c>
      <c r="J49" s="9" t="s">
        <v>3776</v>
      </c>
    </row>
    <row r="50" spans="1:10" s="562" customFormat="1"/>
    <row r="51" spans="1:10">
      <c r="A51" s="733" t="s">
        <v>3812</v>
      </c>
      <c r="B51" s="723" t="s">
        <v>3813</v>
      </c>
      <c r="C51" s="470"/>
      <c r="D51" s="471" t="s">
        <v>184</v>
      </c>
      <c r="E51" s="472" t="s">
        <v>3814</v>
      </c>
      <c r="F51" s="473">
        <v>0.50902777777777775</v>
      </c>
      <c r="G51" s="482" t="s">
        <v>3815</v>
      </c>
    </row>
    <row r="52" spans="1:10">
      <c r="A52" s="734"/>
      <c r="B52" s="724"/>
      <c r="C52" s="474"/>
      <c r="D52" s="475" t="s">
        <v>190</v>
      </c>
      <c r="E52" s="476" t="s">
        <v>3816</v>
      </c>
      <c r="F52" s="477">
        <v>0.65694444444444444</v>
      </c>
      <c r="G52" s="483" t="s">
        <v>3817</v>
      </c>
    </row>
    <row r="53" spans="1:10">
      <c r="A53" s="734"/>
      <c r="B53" s="724"/>
      <c r="C53" s="474"/>
      <c r="D53" s="475" t="s">
        <v>195</v>
      </c>
      <c r="E53" s="476" t="s">
        <v>3818</v>
      </c>
      <c r="F53" s="477">
        <v>0.81458333333333333</v>
      </c>
      <c r="G53" s="483" t="s">
        <v>3819</v>
      </c>
    </row>
    <row r="54" spans="1:10">
      <c r="A54" s="734"/>
      <c r="B54" s="724"/>
      <c r="C54" s="474"/>
      <c r="D54" s="475" t="s">
        <v>199</v>
      </c>
      <c r="E54" s="476" t="s">
        <v>3820</v>
      </c>
      <c r="F54" s="477">
        <v>0.72986111111111107</v>
      </c>
      <c r="G54" s="483" t="s">
        <v>3821</v>
      </c>
    </row>
    <row r="55" spans="1:10">
      <c r="A55" s="734"/>
      <c r="B55" s="724"/>
      <c r="C55" s="474"/>
      <c r="D55" s="475" t="s">
        <v>204</v>
      </c>
      <c r="E55" s="476" t="s">
        <v>3822</v>
      </c>
      <c r="F55" s="477">
        <v>0.59444444444444444</v>
      </c>
      <c r="G55" s="483" t="s">
        <v>3823</v>
      </c>
    </row>
    <row r="56" spans="1:10">
      <c r="A56" s="734"/>
      <c r="B56" s="724"/>
      <c r="C56" s="474"/>
      <c r="D56" s="475" t="s">
        <v>208</v>
      </c>
      <c r="E56" s="476" t="s">
        <v>3824</v>
      </c>
      <c r="F56" s="477">
        <v>0.66388888888888886</v>
      </c>
      <c r="G56" s="483" t="s">
        <v>3825</v>
      </c>
    </row>
    <row r="57" spans="1:10">
      <c r="A57" s="735"/>
      <c r="B57" s="725"/>
      <c r="C57" s="478"/>
      <c r="D57" s="479" t="s">
        <v>213</v>
      </c>
      <c r="E57" s="480" t="s">
        <v>3826</v>
      </c>
      <c r="F57" s="481">
        <v>0.6333333333333333</v>
      </c>
      <c r="G57" s="459" t="s">
        <v>3827</v>
      </c>
    </row>
  </sheetData>
  <mergeCells count="22">
    <mergeCell ref="C41:C42"/>
    <mergeCell ref="C43:C49"/>
    <mergeCell ref="A23:XFD23"/>
    <mergeCell ref="A51:A57"/>
    <mergeCell ref="B51:B57"/>
    <mergeCell ref="A50:XFD50"/>
    <mergeCell ref="C19:C21"/>
    <mergeCell ref="A24:A45"/>
    <mergeCell ref="B24:B49"/>
    <mergeCell ref="C24:C27"/>
    <mergeCell ref="C28:C31"/>
    <mergeCell ref="C32:C34"/>
    <mergeCell ref="C35:C38"/>
    <mergeCell ref="C39:C40"/>
    <mergeCell ref="A2:A22"/>
    <mergeCell ref="B2:B22"/>
    <mergeCell ref="C2:C4"/>
    <mergeCell ref="C5:C7"/>
    <mergeCell ref="C8:C9"/>
    <mergeCell ref="C10:C11"/>
    <mergeCell ref="C12:C14"/>
    <mergeCell ref="C15:C18"/>
  </mergeCells>
  <conditionalFormatting sqref="J2:J17 H2:H22">
    <cfRule type="containsText" dxfId="71" priority="73" operator="containsText" text="em edição">
      <formula>NOT(ISERROR(SEARCH("em edição",H2)))</formula>
    </cfRule>
    <cfRule type="containsText" dxfId="70" priority="74" operator="containsText" text="procedimento interno">
      <formula>NOT(ISERROR(SEARCH("procedimento interno",H2)))</formula>
    </cfRule>
    <cfRule type="containsText" dxfId="69" priority="75" operator="containsText" text="finalizado">
      <formula>NOT(ISERROR(SEARCH("finalizado",H2)))</formula>
    </cfRule>
    <cfRule type="containsText" dxfId="68" priority="76" operator="containsText" text="em correção">
      <formula>NOT(ISERROR(SEARCH("em correção",H2)))</formula>
    </cfRule>
    <cfRule type="containsText" dxfId="67" priority="77" operator="containsText" text="editado pela TV">
      <formula>NOT(ISERROR(SEARCH("editado pela TV",H2)))</formula>
    </cfRule>
    <cfRule type="containsText" dxfId="66" priority="78" operator="containsText" text="em correção">
      <formula>NOT(ISERROR(SEARCH("em correção",H2)))</formula>
    </cfRule>
    <cfRule type="containsText" dxfId="65" priority="79" operator="containsText" text="enviado pelo prof">
      <formula>NOT(ISERROR(SEARCH("enviado pelo prof",H2)))</formula>
    </cfRule>
    <cfRule type="containsText" dxfId="64" priority="80" operator="containsText" text="vai gravar">
      <formula>NOT(ISERROR(SEARCH("vai gravar",H2)))</formula>
    </cfRule>
  </conditionalFormatting>
  <conditionalFormatting sqref="J18:J22">
    <cfRule type="containsText" dxfId="63" priority="57" operator="containsText" text="em edição">
      <formula>NOT(ISERROR(SEARCH("em edição",J18)))</formula>
    </cfRule>
    <cfRule type="containsText" dxfId="62" priority="58" operator="containsText" text="procedimento interno">
      <formula>NOT(ISERROR(SEARCH("procedimento interno",J18)))</formula>
    </cfRule>
    <cfRule type="containsText" dxfId="61" priority="59" operator="containsText" text="finalizado">
      <formula>NOT(ISERROR(SEARCH("finalizado",J18)))</formula>
    </cfRule>
    <cfRule type="containsText" dxfId="60" priority="60" operator="containsText" text="em correção">
      <formula>NOT(ISERROR(SEARCH("em correção",J18)))</formula>
    </cfRule>
    <cfRule type="containsText" dxfId="59" priority="61" operator="containsText" text="editado pela TV">
      <formula>NOT(ISERROR(SEARCH("editado pela TV",J18)))</formula>
    </cfRule>
    <cfRule type="containsText" dxfId="58" priority="62" operator="containsText" text="em correção">
      <formula>NOT(ISERROR(SEARCH("em correção",J18)))</formula>
    </cfRule>
    <cfRule type="containsText" dxfId="57" priority="63" operator="containsText" text="enviado pelo prof">
      <formula>NOT(ISERROR(SEARCH("enviado pelo prof",J18)))</formula>
    </cfRule>
    <cfRule type="containsText" dxfId="56" priority="64" operator="containsText" text="vai gravar">
      <formula>NOT(ISERROR(SEARCH("vai gravar",J18)))</formula>
    </cfRule>
  </conditionalFormatting>
  <conditionalFormatting sqref="H24:H38">
    <cfRule type="containsText" dxfId="55" priority="49" operator="containsText" text="em edição">
      <formula>NOT(ISERROR(SEARCH("em edição",H24)))</formula>
    </cfRule>
    <cfRule type="containsText" dxfId="54" priority="50" operator="containsText" text="procedimento interno">
      <formula>NOT(ISERROR(SEARCH("procedimento interno",H24)))</formula>
    </cfRule>
    <cfRule type="containsText" dxfId="53" priority="51" operator="containsText" text="finalizado">
      <formula>NOT(ISERROR(SEARCH("finalizado",H24)))</formula>
    </cfRule>
    <cfRule type="containsText" dxfId="52" priority="52" operator="containsText" text="em correção">
      <formula>NOT(ISERROR(SEARCH("em correção",H24)))</formula>
    </cfRule>
    <cfRule type="containsText" dxfId="51" priority="53" operator="containsText" text="editado pela TV">
      <formula>NOT(ISERROR(SEARCH("editado pela TV",H24)))</formula>
    </cfRule>
    <cfRule type="containsText" dxfId="50" priority="54" operator="containsText" text="em correção">
      <formula>NOT(ISERROR(SEARCH("em correção",H24)))</formula>
    </cfRule>
    <cfRule type="containsText" dxfId="49" priority="55" operator="containsText" text="enviado pelo prof">
      <formula>NOT(ISERROR(SEARCH("enviado pelo prof",H24)))</formula>
    </cfRule>
    <cfRule type="containsText" dxfId="48" priority="56" operator="containsText" text="vai gravar">
      <formula>NOT(ISERROR(SEARCH("vai gravar",H24)))</formula>
    </cfRule>
  </conditionalFormatting>
  <conditionalFormatting sqref="H39 H44 H41:H42">
    <cfRule type="containsText" dxfId="47" priority="41" operator="containsText" text="em edição">
      <formula>NOT(ISERROR(SEARCH("em edição",H39)))</formula>
    </cfRule>
    <cfRule type="containsText" dxfId="46" priority="42" operator="containsText" text="procedimento interno">
      <formula>NOT(ISERROR(SEARCH("procedimento interno",H39)))</formula>
    </cfRule>
    <cfRule type="containsText" dxfId="45" priority="43" operator="containsText" text="finalizado">
      <formula>NOT(ISERROR(SEARCH("finalizado",H39)))</formula>
    </cfRule>
    <cfRule type="containsText" dxfId="44" priority="44" operator="containsText" text="em correção">
      <formula>NOT(ISERROR(SEARCH("em correção",H39)))</formula>
    </cfRule>
    <cfRule type="containsText" dxfId="43" priority="45" operator="containsText" text="editado pela TV">
      <formula>NOT(ISERROR(SEARCH("editado pela TV",H39)))</formula>
    </cfRule>
    <cfRule type="containsText" dxfId="42" priority="46" operator="containsText" text="em correção">
      <formula>NOT(ISERROR(SEARCH("em correção",H39)))</formula>
    </cfRule>
    <cfRule type="containsText" dxfId="41" priority="47" operator="containsText" text="enviado pelo prof">
      <formula>NOT(ISERROR(SEARCH("enviado pelo prof",H39)))</formula>
    </cfRule>
    <cfRule type="containsText" dxfId="40" priority="48" operator="containsText" text="vai gravar">
      <formula>NOT(ISERROR(SEARCH("vai gravar",H39)))</formula>
    </cfRule>
  </conditionalFormatting>
  <conditionalFormatting sqref="H46:H49">
    <cfRule type="containsText" dxfId="39" priority="33" operator="containsText" text="em edição">
      <formula>NOT(ISERROR(SEARCH("em edição",H46)))</formula>
    </cfRule>
    <cfRule type="containsText" dxfId="38" priority="34" operator="containsText" text="procedimento interno">
      <formula>NOT(ISERROR(SEARCH("procedimento interno",H46)))</formula>
    </cfRule>
    <cfRule type="containsText" dxfId="37" priority="35" operator="containsText" text="finalizado">
      <formula>NOT(ISERROR(SEARCH("finalizado",H46)))</formula>
    </cfRule>
    <cfRule type="containsText" dxfId="36" priority="36" operator="containsText" text="em correção">
      <formula>NOT(ISERROR(SEARCH("em correção",H46)))</formula>
    </cfRule>
    <cfRule type="containsText" dxfId="35" priority="37" operator="containsText" text="editado pela TV">
      <formula>NOT(ISERROR(SEARCH("editado pela TV",H46)))</formula>
    </cfRule>
    <cfRule type="containsText" dxfId="34" priority="38" operator="containsText" text="em correção">
      <formula>NOT(ISERROR(SEARCH("em correção",H46)))</formula>
    </cfRule>
    <cfRule type="containsText" dxfId="33" priority="39" operator="containsText" text="enviado pelo prof">
      <formula>NOT(ISERROR(SEARCH("enviado pelo prof",H46)))</formula>
    </cfRule>
    <cfRule type="containsText" dxfId="32" priority="40" operator="containsText" text="vai gravar">
      <formula>NOT(ISERROR(SEARCH("vai gravar",H46)))</formula>
    </cfRule>
  </conditionalFormatting>
  <conditionalFormatting sqref="H43">
    <cfRule type="containsText" dxfId="31" priority="25" operator="containsText" text="em edição">
      <formula>NOT(ISERROR(SEARCH("em edição",H43)))</formula>
    </cfRule>
    <cfRule type="containsText" dxfId="30" priority="26" operator="containsText" text="procedimento interno">
      <formula>NOT(ISERROR(SEARCH("procedimento interno",H43)))</formula>
    </cfRule>
    <cfRule type="containsText" dxfId="29" priority="27" operator="containsText" text="finalizado">
      <formula>NOT(ISERROR(SEARCH("finalizado",H43)))</formula>
    </cfRule>
    <cfRule type="containsText" dxfId="28" priority="28" operator="containsText" text="em correção">
      <formula>NOT(ISERROR(SEARCH("em correção",H43)))</formula>
    </cfRule>
    <cfRule type="containsText" dxfId="27" priority="29" operator="containsText" text="editado pela TV">
      <formula>NOT(ISERROR(SEARCH("editado pela TV",H43)))</formula>
    </cfRule>
    <cfRule type="containsText" dxfId="26" priority="30" operator="containsText" text="em correção">
      <formula>NOT(ISERROR(SEARCH("em correção",H43)))</formula>
    </cfRule>
    <cfRule type="containsText" dxfId="25" priority="31" operator="containsText" text="enviado pelo prof">
      <formula>NOT(ISERROR(SEARCH("enviado pelo prof",H43)))</formula>
    </cfRule>
    <cfRule type="containsText" dxfId="24" priority="32" operator="containsText" text="vai gravar">
      <formula>NOT(ISERROR(SEARCH("vai gravar",H43)))</formula>
    </cfRule>
  </conditionalFormatting>
  <conditionalFormatting sqref="H45">
    <cfRule type="containsText" dxfId="23" priority="17" operator="containsText" text="em edição">
      <formula>NOT(ISERROR(SEARCH("em edição",H45)))</formula>
    </cfRule>
    <cfRule type="containsText" dxfId="22" priority="18" operator="containsText" text="procedimento interno">
      <formula>NOT(ISERROR(SEARCH("procedimento interno",H45)))</formula>
    </cfRule>
    <cfRule type="containsText" dxfId="21" priority="19" operator="containsText" text="finalizado">
      <formula>NOT(ISERROR(SEARCH("finalizado",H45)))</formula>
    </cfRule>
    <cfRule type="containsText" dxfId="20" priority="20" operator="containsText" text="em correção">
      <formula>NOT(ISERROR(SEARCH("em correção",H45)))</formula>
    </cfRule>
    <cfRule type="containsText" dxfId="19" priority="21" operator="containsText" text="editado pela TV">
      <formula>NOT(ISERROR(SEARCH("editado pela TV",H45)))</formula>
    </cfRule>
    <cfRule type="containsText" dxfId="18" priority="22" operator="containsText" text="em correção">
      <formula>NOT(ISERROR(SEARCH("em correção",H45)))</formula>
    </cfRule>
    <cfRule type="containsText" dxfId="17" priority="23" operator="containsText" text="enviado pelo prof">
      <formula>NOT(ISERROR(SEARCH("enviado pelo prof",H45)))</formula>
    </cfRule>
    <cfRule type="containsText" dxfId="16" priority="24" operator="containsText" text="vai gravar">
      <formula>NOT(ISERROR(SEARCH("vai gravar",H45)))</formula>
    </cfRule>
  </conditionalFormatting>
  <conditionalFormatting sqref="H40">
    <cfRule type="containsText" dxfId="15" priority="9" operator="containsText" text="em edição">
      <formula>NOT(ISERROR(SEARCH("em edição",H40)))</formula>
    </cfRule>
    <cfRule type="containsText" dxfId="14" priority="10" operator="containsText" text="procedimento interno">
      <formula>NOT(ISERROR(SEARCH("procedimento interno",H40)))</formula>
    </cfRule>
    <cfRule type="containsText" dxfId="13" priority="11" operator="containsText" text="finalizado">
      <formula>NOT(ISERROR(SEARCH("finalizado",H40)))</formula>
    </cfRule>
    <cfRule type="containsText" dxfId="12" priority="12" operator="containsText" text="em correção">
      <formula>NOT(ISERROR(SEARCH("em correção",H40)))</formula>
    </cfRule>
    <cfRule type="containsText" dxfId="11" priority="13" operator="containsText" text="editado pela TV">
      <formula>NOT(ISERROR(SEARCH("editado pela TV",H40)))</formula>
    </cfRule>
    <cfRule type="containsText" dxfId="10" priority="14" operator="containsText" text="em correção">
      <formula>NOT(ISERROR(SEARCH("em correção",H40)))</formula>
    </cfRule>
    <cfRule type="containsText" dxfId="9" priority="15" operator="containsText" text="enviado pelo prof">
      <formula>NOT(ISERROR(SEARCH("enviado pelo prof",H40)))</formula>
    </cfRule>
    <cfRule type="containsText" dxfId="8" priority="16" operator="containsText" text="vai gravar">
      <formula>NOT(ISERROR(SEARCH("vai gravar",H40)))</formula>
    </cfRule>
  </conditionalFormatting>
  <conditionalFormatting sqref="J24:J49">
    <cfRule type="containsText" dxfId="7" priority="1" operator="containsText" text="em edição">
      <formula>NOT(ISERROR(SEARCH("em edição",J24)))</formula>
    </cfRule>
    <cfRule type="containsText" dxfId="6" priority="2" operator="containsText" text="procedimento interno">
      <formula>NOT(ISERROR(SEARCH("procedimento interno",J24)))</formula>
    </cfRule>
    <cfRule type="containsText" dxfId="5" priority="3" operator="containsText" text="finalizado">
      <formula>NOT(ISERROR(SEARCH("finalizado",J24)))</formula>
    </cfRule>
    <cfRule type="containsText" dxfId="4" priority="4" operator="containsText" text="em correção">
      <formula>NOT(ISERROR(SEARCH("em correção",J24)))</formula>
    </cfRule>
    <cfRule type="containsText" dxfId="3" priority="5" operator="containsText" text="editado pela TV">
      <formula>NOT(ISERROR(SEARCH("editado pela TV",J24)))</formula>
    </cfRule>
    <cfRule type="containsText" dxfId="2" priority="6" operator="containsText" text="em correção">
      <formula>NOT(ISERROR(SEARCH("em correção",J24)))</formula>
    </cfRule>
    <cfRule type="containsText" dxfId="1" priority="7" operator="containsText" text="enviado pelo prof">
      <formula>NOT(ISERROR(SEARCH("enviado pelo prof",J24)))</formula>
    </cfRule>
    <cfRule type="containsText" dxfId="0" priority="8" operator="containsText" text="vai gravar">
      <formula>NOT(ISERROR(SEARCH("vai gravar",J24)))</formula>
    </cfRule>
  </conditionalFormatting>
  <dataValidations count="1">
    <dataValidation type="list" allowBlank="1" showInputMessage="1" showErrorMessage="1" sqref="H2:H22 J2:J22 H24:H49 J24:J49" xr:uid="{D8D747EB-A291-4643-8609-9B01E8008115}">
      <formula1>" editado pela TV,finalizado,em correção,enviado pelo prof,vai gravar,em edição,procedimento interno"</formula1>
    </dataValidation>
  </dataValidations>
  <hyperlinks>
    <hyperlink ref="G2" r:id="rId1" xr:uid="{651246D7-ECEA-4896-82B0-8AE4B4C64603}"/>
    <hyperlink ref="G3" r:id="rId2" xr:uid="{31FA46F8-F2BF-40E6-B891-DDEF6F413E2D}"/>
    <hyperlink ref="G4" r:id="rId3" xr:uid="{E9E7E374-4C3B-4446-83FF-20C12BD3D4A6}"/>
    <hyperlink ref="G5" r:id="rId4" xr:uid="{8DFDCCA0-E06C-4B3E-8046-ACFC04B9C38B}"/>
    <hyperlink ref="G6" r:id="rId5" xr:uid="{3F5AA288-C22D-4172-B2B4-1F39E15D975B}"/>
    <hyperlink ref="G7" r:id="rId6" xr:uid="{D423EE99-C108-4C09-A683-7EE02FE44E05}"/>
    <hyperlink ref="G8" r:id="rId7" xr:uid="{8D4CE820-67C0-4F13-A3BF-72997A71C730}"/>
    <hyperlink ref="G9" r:id="rId8" xr:uid="{046F94B0-541C-4504-A7D8-A972CC3B8707}"/>
    <hyperlink ref="G10" r:id="rId9" xr:uid="{920FCB72-701B-429E-A324-CE695D4600CC}"/>
    <hyperlink ref="G11" r:id="rId10" xr:uid="{4EBF56A0-82FA-4CEB-A0BD-FA2B44A5C8F2}"/>
    <hyperlink ref="G12" r:id="rId11" xr:uid="{33E4FF34-798B-4830-877E-4056D9B3D275}"/>
    <hyperlink ref="G13" r:id="rId12" xr:uid="{05893FFD-20C3-4F2F-B2E4-895D1CB23E50}"/>
    <hyperlink ref="G14" r:id="rId13" xr:uid="{7ADCFF93-0D8C-433D-BA32-085757CE9448}"/>
    <hyperlink ref="G15" r:id="rId14" xr:uid="{F353B635-3EEC-4CC0-BC8A-75ED53B2BD06}"/>
    <hyperlink ref="G16" r:id="rId15" xr:uid="{85AD52F3-47F2-4830-8B66-BB05E45C7912}"/>
    <hyperlink ref="G17" r:id="rId16" xr:uid="{3CE3B9AE-B421-4A60-8EE3-6B1C133EB27C}"/>
    <hyperlink ref="G18" r:id="rId17" xr:uid="{1423DAFA-2F85-4DAA-91FE-5357A46A8D2B}"/>
    <hyperlink ref="G19" r:id="rId18" xr:uid="{9B3865F0-9281-4F3B-87EF-122A5FEE9386}"/>
    <hyperlink ref="G20" r:id="rId19" xr:uid="{7A91DF0F-E519-4E1A-A8B7-357CCC5B7AC2}"/>
    <hyperlink ref="G21" r:id="rId20" xr:uid="{BA545C36-9C90-471B-99B4-6AC164E7FF0F}"/>
    <hyperlink ref="G22" r:id="rId21" xr:uid="{9F2C2C23-E8B7-40AA-BE0F-0B33C0A5B408}"/>
    <hyperlink ref="I2" r:id="rId22" xr:uid="{252F30CE-75DB-488D-A6D8-869AC03C78DC}"/>
    <hyperlink ref="I3" r:id="rId23" xr:uid="{F9563D47-98FB-4792-B602-332E4E8E55F7}"/>
    <hyperlink ref="I4" r:id="rId24" xr:uid="{E54F64E2-9758-495E-BACC-8555EE58CC15}"/>
    <hyperlink ref="I5" r:id="rId25" xr:uid="{31E72B95-6ACF-445A-A1F2-3C2744E50CDF}"/>
    <hyperlink ref="I6" r:id="rId26" xr:uid="{112BC83F-DFF6-4F1A-9125-BDFFC1B4568B}"/>
    <hyperlink ref="I7" r:id="rId27" xr:uid="{2E30E831-CDBF-4977-A5F0-2E53652B54A0}"/>
    <hyperlink ref="I8" r:id="rId28" xr:uid="{634DAB5C-F68D-4987-ACD8-467B9DA21EDD}"/>
    <hyperlink ref="I9" r:id="rId29" xr:uid="{1E44C052-D13B-4C8C-BC57-7FB32019A92B}"/>
    <hyperlink ref="I10" r:id="rId30" xr:uid="{FE1D0604-7844-489E-9A09-C69BB6379C9C}"/>
    <hyperlink ref="I11" r:id="rId31" xr:uid="{D8C04E23-E2E2-4915-B86F-0E54F80451B4}"/>
    <hyperlink ref="I12" r:id="rId32" xr:uid="{485F03A8-D7A6-4651-9088-ADA840D8F9D3}"/>
    <hyperlink ref="I13" r:id="rId33" xr:uid="{613D0388-4A87-4F34-BCA0-0ED4B4CC2DC3}"/>
    <hyperlink ref="I14" r:id="rId34" xr:uid="{DC034B74-90D1-4F18-BBF2-23AD74552C1C}"/>
    <hyperlink ref="I15" r:id="rId35" xr:uid="{CB815C9F-4543-4590-9996-CB8F608F6AAB}"/>
    <hyperlink ref="I16" r:id="rId36" xr:uid="{4E43F881-2CB6-40C2-AFD8-7DFF90B929F7}"/>
    <hyperlink ref="I17" r:id="rId37" xr:uid="{F40F64FA-48C2-4DED-9CF7-7BD7ED3A7859}"/>
    <hyperlink ref="I18" r:id="rId38" xr:uid="{AC8FA767-D063-4E27-876A-CE95017477E9}"/>
    <hyperlink ref="I19" r:id="rId39" xr:uid="{B5A933B1-3110-4541-8140-EBC21629F53F}"/>
    <hyperlink ref="I20" r:id="rId40" xr:uid="{9BB552DF-436D-4DA5-8A4B-0964C3B48B5D}"/>
    <hyperlink ref="I21" r:id="rId41" xr:uid="{D3968CBE-42A9-4C88-A2D9-65EC4D826539}"/>
    <hyperlink ref="I22" r:id="rId42" xr:uid="{65016BF1-5167-4DDA-A2B3-3AAEF79F2EBB}"/>
    <hyperlink ref="K2" r:id="rId43" xr:uid="{E5C9A55A-EF17-4449-84BE-171AC15813DB}"/>
    <hyperlink ref="K3" r:id="rId44" xr:uid="{67E92788-B3E1-4C1A-922D-26DB4A5CC2EE}"/>
    <hyperlink ref="K4" r:id="rId45" xr:uid="{81AF60A4-5DCE-493A-9890-732C4619D5F7}"/>
    <hyperlink ref="K5" r:id="rId46" xr:uid="{91B2DC82-E068-4EC6-97B1-D326427DF595}"/>
    <hyperlink ref="K6" r:id="rId47" xr:uid="{B26B43D8-EF21-42B2-A745-4942F90F656A}"/>
    <hyperlink ref="K7" r:id="rId48" xr:uid="{6A6E7D86-1CEA-4D1F-B60C-0B854157399B}"/>
    <hyperlink ref="K8" r:id="rId49" xr:uid="{33FEA943-EB12-49DA-91D5-38AAD141ADC3}"/>
    <hyperlink ref="K9" r:id="rId50" xr:uid="{BA218587-F9A9-4723-B337-2403BE5AA08F}"/>
    <hyperlink ref="K10" r:id="rId51" xr:uid="{3955D680-E034-42EA-B6B8-52AD2EBFD7BC}"/>
    <hyperlink ref="K11" r:id="rId52" xr:uid="{7E241781-D128-4F65-95F2-068B58D0D697}"/>
    <hyperlink ref="K12" r:id="rId53" xr:uid="{CF8F96F0-39F5-4B4B-8C3C-28D1260EB370}"/>
    <hyperlink ref="K13" r:id="rId54" xr:uid="{D04DAE69-9994-418B-8C0D-E60B5185A99A}"/>
    <hyperlink ref="K14" r:id="rId55" xr:uid="{1CD9B465-8428-4286-BC81-40CE23F5CBC5}"/>
    <hyperlink ref="K15" r:id="rId56" xr:uid="{82EF0E11-9E96-49C0-A1A6-770FCD6A5A55}"/>
    <hyperlink ref="K16" r:id="rId57" xr:uid="{71B4CF06-B3F4-403A-BA20-5D2E751D029E}"/>
    <hyperlink ref="K17" r:id="rId58" xr:uid="{3C957E24-1DC0-4434-B332-085515342798}"/>
    <hyperlink ref="K18" r:id="rId59" xr:uid="{2513A042-5AD6-4408-AC14-8C04FDCFE9AD}"/>
    <hyperlink ref="K19" r:id="rId60" xr:uid="{0D5E8AE8-BEF2-4F80-A959-A937AB46C9EA}"/>
    <hyperlink ref="K20" r:id="rId61" xr:uid="{D5193858-15F5-4E13-8E1B-428E8B1A9C96}"/>
    <hyperlink ref="K21" r:id="rId62" xr:uid="{020A763B-FAB8-4A12-A194-AFD91510EF1C}"/>
    <hyperlink ref="K22" r:id="rId63" xr:uid="{6451154B-103A-481F-B4FB-9A5EC18AAB0C}"/>
    <hyperlink ref="G24" r:id="rId64" xr:uid="{1B45785E-A8C6-41D0-B52D-4C5E5827E87F}"/>
    <hyperlink ref="G25" r:id="rId65" xr:uid="{81B13D1C-7C6F-4DDB-8AFD-3C26887B7A9A}"/>
    <hyperlink ref="G26" r:id="rId66" xr:uid="{F39E65E6-4403-4951-9D0F-0312A1E695F0}"/>
    <hyperlink ref="G27" r:id="rId67" xr:uid="{E765A423-34A3-477F-AADB-14C4C2FF3C03}"/>
    <hyperlink ref="G28" r:id="rId68" xr:uid="{58647377-EC8A-4CB7-A1E8-F76FFFF758D5}"/>
    <hyperlink ref="G29" r:id="rId69" xr:uid="{201D47B3-309A-4C4A-AAEF-842CFB949F64}"/>
    <hyperlink ref="G30" r:id="rId70" xr:uid="{D74FC132-D210-4123-A457-1DBE6F9CE5D7}"/>
    <hyperlink ref="G31" r:id="rId71" xr:uid="{B5BF3265-3BCA-4582-A70E-43C9FF7C932A}"/>
    <hyperlink ref="G32" r:id="rId72" xr:uid="{1E498A9C-ECF2-4F66-A1EE-36C6D977CC48}"/>
    <hyperlink ref="G33" r:id="rId73" xr:uid="{4B20C344-EBF9-4263-95C5-ED5E2C0B4041}"/>
    <hyperlink ref="G34" r:id="rId74" xr:uid="{8FECCC39-B7E1-42CD-9A20-B8F35AEB48FE}"/>
    <hyperlink ref="G35" r:id="rId75" xr:uid="{FD9FBD71-3E92-4206-8A86-82BA008F586F}"/>
    <hyperlink ref="G36" r:id="rId76" xr:uid="{8C321A7C-4E1C-4D1B-88FF-C79E7574E4C8}"/>
    <hyperlink ref="G37" r:id="rId77" xr:uid="{99082749-E783-45D6-909A-A4BA69F793BF}"/>
    <hyperlink ref="G38" r:id="rId78" xr:uid="{D6DF2AF6-88F6-4EDC-B682-A05CD3AB5AC4}"/>
    <hyperlink ref="G39" r:id="rId79" xr:uid="{A3891411-2CE9-4304-AD1A-8B95DA816444}"/>
    <hyperlink ref="G40" r:id="rId80" xr:uid="{E75CD8BD-D123-4E4A-9F5D-61D7DC011531}"/>
    <hyperlink ref="G41" r:id="rId81" xr:uid="{479DAC81-D872-416E-B3B5-2D5C01D2B88B}"/>
    <hyperlink ref="G42" r:id="rId82" xr:uid="{52EBC8A2-9EA1-44AC-81D2-E3D797E3ECBA}"/>
    <hyperlink ref="G43" r:id="rId83" xr:uid="{612B87B2-7C11-42BD-A14B-30EEC5636FA1}"/>
    <hyperlink ref="G44" r:id="rId84" xr:uid="{80358FAB-6EF5-42C1-942F-0E38718A87AA}"/>
    <hyperlink ref="G45" r:id="rId85" xr:uid="{8AA21C6D-50DB-482C-ABD8-457E6CDB4783}"/>
    <hyperlink ref="G46" r:id="rId86" xr:uid="{285E8787-E85A-4848-9731-3A21FBC8404C}"/>
    <hyperlink ref="G47" r:id="rId87" xr:uid="{DA8B42D3-AF96-41A9-BA17-6C99A756853C}"/>
    <hyperlink ref="G48" r:id="rId88" xr:uid="{F3B23FF5-36D1-4F03-AF8D-96B2EE961849}"/>
    <hyperlink ref="G49" r:id="rId89" xr:uid="{E0B7C71F-6115-478A-ABAA-79A02935C78B}"/>
    <hyperlink ref="I24" r:id="rId90" xr:uid="{10D5A569-688C-4EA9-9D39-BE7EAA80432A}"/>
    <hyperlink ref="I25" r:id="rId91" xr:uid="{5D92A261-2C1D-4959-9424-94008F04C0E5}"/>
    <hyperlink ref="I26" r:id="rId92" xr:uid="{B3E43212-C18B-453C-922C-A3A589972818}"/>
    <hyperlink ref="I27" r:id="rId93" xr:uid="{C0707501-8BBD-4A1C-97C9-EAA749FE2C51}"/>
    <hyperlink ref="I28" r:id="rId94" xr:uid="{832BD22F-7DEB-4B96-AF90-F3026FBCD448}"/>
    <hyperlink ref="I29" r:id="rId95" xr:uid="{0A93F2C6-EADB-4EB6-A55C-FEF0319537C6}"/>
    <hyperlink ref="I30" r:id="rId96" xr:uid="{E37BA99E-6C12-4822-A4ED-5B26B6EA2A73}"/>
    <hyperlink ref="I32" r:id="rId97" xr:uid="{D97F9A43-935E-47E9-8EE1-DE8C844640FD}"/>
    <hyperlink ref="I33" r:id="rId98" xr:uid="{2A3B48E4-EE09-423C-AD29-D8F7147D1FE9}"/>
    <hyperlink ref="I34" r:id="rId99" xr:uid="{BA3356D1-2B1E-4409-98BB-B9D1F05B1222}"/>
    <hyperlink ref="I35" r:id="rId100" xr:uid="{2AC5470D-5BF1-40B9-8E16-45D5F8A41652}"/>
    <hyperlink ref="I36" r:id="rId101" xr:uid="{8AF961C3-30C9-49CD-AB24-8AACD08D376C}"/>
    <hyperlink ref="I37" r:id="rId102" xr:uid="{B775641B-09D0-4368-A0D6-D0D8CEFC398A}"/>
    <hyperlink ref="I38" r:id="rId103" xr:uid="{D711327F-552F-481D-8272-EAB78C062AC3}"/>
    <hyperlink ref="I39" r:id="rId104" xr:uid="{312D349E-E96E-4F6B-9382-6F98BD00E3E8}"/>
    <hyperlink ref="I40" r:id="rId105" xr:uid="{076B243D-93E5-45FA-B97A-0B537918BC1B}"/>
    <hyperlink ref="I41" r:id="rId106" xr:uid="{82DA8C88-D335-4006-9E70-1B5C381D89A4}"/>
    <hyperlink ref="I42" r:id="rId107" xr:uid="{720CE372-1FC6-4D4F-99BA-9C181332962F}"/>
    <hyperlink ref="I43" r:id="rId108" xr:uid="{5E25340F-AE49-4DA1-A6AC-622A93BABB75}"/>
    <hyperlink ref="I44" r:id="rId109" xr:uid="{8217C977-2CE0-4C69-B8C3-A34878847FF1}"/>
    <hyperlink ref="I45" r:id="rId110" xr:uid="{CFB29D0D-CEAC-4EC5-851A-FC9BEAF16BD4}"/>
    <hyperlink ref="I46" r:id="rId111" xr:uid="{1A64C930-1248-44DC-A525-BC6332B843AD}"/>
    <hyperlink ref="I47" r:id="rId112" xr:uid="{53B496D9-1696-41B5-B124-683832CEEB24}"/>
    <hyperlink ref="I48" r:id="rId113" xr:uid="{F443746A-5752-4CC4-BA0D-E2A7B6F6949D}"/>
    <hyperlink ref="I49" r:id="rId114" xr:uid="{4E470F3D-0E88-4831-BEEB-451C56685623}"/>
    <hyperlink ref="G51" r:id="rId115" xr:uid="{F4BFEC98-308C-4BAB-AC15-9CC899719E35}"/>
    <hyperlink ref="G52" r:id="rId116" xr:uid="{23B9B4F6-E5E4-48CB-9D8D-6BA479F4B742}"/>
    <hyperlink ref="G53" r:id="rId117" xr:uid="{2078A128-3AFB-451E-804E-5536B9494FA9}"/>
    <hyperlink ref="G54" r:id="rId118" xr:uid="{17A123E6-1F38-405F-9E89-75C047511D36}"/>
    <hyperlink ref="G55" r:id="rId119" xr:uid="{D4C8ED04-8D04-4355-9DFD-0322C70D1547}"/>
    <hyperlink ref="G56" r:id="rId120" xr:uid="{4C623B5A-62D9-4412-B915-E0D9E89FF391}"/>
    <hyperlink ref="G57" r:id="rId121" xr:uid="{0A0A7022-985D-4334-ACDE-D59C66B5867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8F505E0D15B8843A55A6BE152E53B6A" ma:contentTypeVersion="19" ma:contentTypeDescription="Create a new document." ma:contentTypeScope="" ma:versionID="a7684cdd3b344be39304f44f50d3daf6">
  <xsd:schema xmlns:xsd="http://www.w3.org/2001/XMLSchema" xmlns:xs="http://www.w3.org/2001/XMLSchema" xmlns:p="http://schemas.microsoft.com/office/2006/metadata/properties" xmlns:ns2="21558155-5f89-447f-b0f0-b1bb6edc6c17" xmlns:ns3="d3156468-e73c-4e8b-9bf0-27433d6c4f8c" targetNamespace="http://schemas.microsoft.com/office/2006/metadata/properties" ma:root="true" ma:fieldsID="5ba5cefc3a553acc71e2ab0818d9129d" ns2:_="" ns3:_="">
    <xsd:import namespace="21558155-5f89-447f-b0f0-b1bb6edc6c17"/>
    <xsd:import namespace="d3156468-e73c-4e8b-9bf0-27433d6c4f8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558155-5f89-447f-b0f0-b1bb6edc6c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480c80b-fff7-4d94-874e-4c2a310a211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156468-e73c-4e8b-9bf0-27433d6c4f8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646b584-c597-4da0-b95e-74c7a2a28703}" ma:internalName="TaxCatchAll" ma:showField="CatchAllData" ma:web="d3156468-e73c-4e8b-9bf0-27433d6c4f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21558155-5f89-447f-b0f0-b1bb6edc6c17" xsi:nil="true"/>
    <lcf76f155ced4ddcb4097134ff3c332f xmlns="21558155-5f89-447f-b0f0-b1bb6edc6c17">
      <Terms xmlns="http://schemas.microsoft.com/office/infopath/2007/PartnerControls"/>
    </lcf76f155ced4ddcb4097134ff3c332f>
    <TaxCatchAll xmlns="d3156468-e73c-4e8b-9bf0-27433d6c4f8c" xsi:nil="true"/>
    <SharedWithUsers xmlns="d3156468-e73c-4e8b-9bf0-27433d6c4f8c">
      <UserInfo>
        <DisplayName>Raquel Farias dos Santos</DisplayName>
        <AccountId>122</AccountId>
        <AccountType/>
      </UserInfo>
      <UserInfo>
        <DisplayName>Eduardo Beretta</DisplayName>
        <AccountId>78</AccountId>
        <AccountType/>
      </UserInfo>
      <UserInfo>
        <DisplayName>Larissa Marcela dos Santos</DisplayName>
        <AccountId>81</AccountId>
        <AccountType/>
      </UserInfo>
      <UserInfo>
        <DisplayName>Lucas Barbosa Ferreira</DisplayName>
        <AccountId>198</AccountId>
        <AccountType/>
      </UserInfo>
      <UserInfo>
        <DisplayName>Daniel Marcelo Dantas</DisplayName>
        <AccountId>33</AccountId>
        <AccountType/>
      </UserInfo>
      <UserInfo>
        <DisplayName>Ligia Rodrigues Balista</DisplayName>
        <AccountId>129</AccountId>
        <AccountType/>
      </UserInfo>
      <UserInfo>
        <DisplayName>Ligia Rodrigues Balista</DisplayName>
        <AccountId>379</AccountId>
        <AccountType/>
      </UserInfo>
    </SharedWithUsers>
  </documentManagement>
</p:properties>
</file>

<file path=customXml/itemProps1.xml><?xml version="1.0" encoding="utf-8"?>
<ds:datastoreItem xmlns:ds="http://schemas.openxmlformats.org/officeDocument/2006/customXml" ds:itemID="{5EB918F2-A89F-487D-9A63-0A91E83D3FFE}"/>
</file>

<file path=customXml/itemProps2.xml><?xml version="1.0" encoding="utf-8"?>
<ds:datastoreItem xmlns:ds="http://schemas.openxmlformats.org/officeDocument/2006/customXml" ds:itemID="{252EAE25-4226-4FC6-A579-B0D9ACE7A139}"/>
</file>

<file path=customXml/itemProps3.xml><?xml version="1.0" encoding="utf-8"?>
<ds:datastoreItem xmlns:ds="http://schemas.openxmlformats.org/officeDocument/2006/customXml" ds:itemID="{FBF226AE-8004-436B-A51E-6AF4E637E3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Paula de Lima Conceicao</dc:creator>
  <cp:keywords/>
  <dc:description/>
  <cp:lastModifiedBy/>
  <cp:revision/>
  <dcterms:created xsi:type="dcterms:W3CDTF">2023-09-05T22:18:21Z</dcterms:created>
  <dcterms:modified xsi:type="dcterms:W3CDTF">2025-11-25T11:11:11Z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0x01010018F505E0D15B8843A55A6BE152E53B6A</vt:lpwstr>
  </property>
  <property fmtid="{D5CDD505-2E9C-101B-9397-08002B2CF9AE}" pid="3" name="MediaServiceImageTags">
    <vt:lpwstr/>
  </property>
</Properties>
</file>